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975cc20bf2f86a1a/Documents/Desktop/E-Commerce-Business-Analytics/Dashboard/"/>
    </mc:Choice>
  </mc:AlternateContent>
  <xr:revisionPtr revIDLastSave="0" documentId="8_{A7FFAE1A-C6EE-4831-8590-DB6436EC31BE}" xr6:coauthVersionLast="47" xr6:coauthVersionMax="47" xr10:uidLastSave="{00000000-0000-0000-0000-000000000000}"/>
  <bookViews>
    <workbookView xWindow="-120" yWindow="-120" windowWidth="29040" windowHeight="15720" activeTab="2" xr2:uid="{00000000-000D-0000-FFFF-FFFF00000000}"/>
  </bookViews>
  <sheets>
    <sheet name="Data" sheetId="1" r:id="rId1"/>
    <sheet name="Analysis" sheetId="3" r:id="rId2"/>
    <sheet name="Executive Dashboard" sheetId="4" r:id="rId3"/>
  </sheets>
  <definedNames>
    <definedName name="Slicer_Category">#N/A</definedName>
    <definedName name="Slicer_Customer_Segment">#N/A</definedName>
    <definedName name="Slicer_Order_Status">#N/A</definedName>
    <definedName name="Slicer_Payment_Mode">#N/A</definedName>
    <definedName name="Slicer_Region">#N/A</definedName>
    <definedName name="Slicer_Shipping_Mode">#N/A</definedName>
  </definedNames>
  <calcPr calcId="191029"/>
  <pivotCaches>
    <pivotCache cacheId="21"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3" l="1"/>
  <c r="B2" i="3"/>
  <c r="B6" i="3" s="1"/>
  <c r="B7" i="3"/>
  <c r="B5" i="3"/>
  <c r="B4" i="3"/>
  <c r="B3" i="3"/>
  <c r="AC78"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9" i="1"/>
  <c r="AC80" i="1"/>
  <c r="AC81" i="1"/>
  <c r="AC82" i="1"/>
  <c r="AC83" i="1"/>
  <c r="AC84" i="1"/>
  <c r="AC85" i="1"/>
  <c r="AC86" i="1"/>
  <c r="AC87" i="1"/>
  <c r="AC88" i="1"/>
  <c r="AC89" i="1"/>
  <c r="AC90" i="1"/>
  <c r="AC91" i="1"/>
  <c r="AC92" i="1"/>
  <c r="AC93" i="1"/>
  <c r="AC94" i="1"/>
  <c r="AC95" i="1"/>
  <c r="AC96" i="1"/>
  <c r="AC97" i="1"/>
  <c r="AC98" i="1"/>
  <c r="AC99" i="1"/>
  <c r="AC100" i="1"/>
  <c r="AC10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alcChain>
</file>

<file path=xl/sharedStrings.xml><?xml version="1.0" encoding="utf-8"?>
<sst xmlns="http://schemas.openxmlformats.org/spreadsheetml/2006/main" count="1624" uniqueCount="316">
  <si>
    <t>Order_ID</t>
  </si>
  <si>
    <t>Order_Date</t>
  </si>
  <si>
    <t>Customer_ID</t>
  </si>
  <si>
    <t>Customer_Name</t>
  </si>
  <si>
    <t>Gender</t>
  </si>
  <si>
    <t>Age</t>
  </si>
  <si>
    <t>City</t>
  </si>
  <si>
    <t>State</t>
  </si>
  <si>
    <t>Region</t>
  </si>
  <si>
    <t>Product_ID</t>
  </si>
  <si>
    <t>Product_Name</t>
  </si>
  <si>
    <t>Category</t>
  </si>
  <si>
    <t>Sub_Category</t>
  </si>
  <si>
    <t>Brand</t>
  </si>
  <si>
    <t>Quantity</t>
  </si>
  <si>
    <t>Unit_Price</t>
  </si>
  <si>
    <t>Discount</t>
  </si>
  <si>
    <t>Sales</t>
  </si>
  <si>
    <t>Cost</t>
  </si>
  <si>
    <t>Profit</t>
  </si>
  <si>
    <t>Payment_Mode</t>
  </si>
  <si>
    <t>Order_Status</t>
  </si>
  <si>
    <t>Customer_Segment</t>
  </si>
  <si>
    <t>Shipping_Mode</t>
  </si>
  <si>
    <t>Delivery_Days</t>
  </si>
  <si>
    <t>C038</t>
  </si>
  <si>
    <t>Aarav Mehta</t>
  </si>
  <si>
    <t>Male</t>
  </si>
  <si>
    <t>Mumbai</t>
  </si>
  <si>
    <t>Maharashtra</t>
  </si>
  <si>
    <t>West</t>
  </si>
  <si>
    <t>P009</t>
  </si>
  <si>
    <t>Coffee Maker</t>
  </si>
  <si>
    <t>Home &amp; Kitchen</t>
  </si>
  <si>
    <t>Appliances</t>
  </si>
  <si>
    <t>Philips</t>
  </si>
  <si>
    <t>UPI</t>
  </si>
  <si>
    <t>Returned</t>
  </si>
  <si>
    <t>Consumer</t>
  </si>
  <si>
    <t>Standard</t>
  </si>
  <si>
    <t>C029</t>
  </si>
  <si>
    <t>Vivaan Kapoor</t>
  </si>
  <si>
    <t>Female</t>
  </si>
  <si>
    <t>Lucknow</t>
  </si>
  <si>
    <t>Uttar Pradesh</t>
  </si>
  <si>
    <t>North</t>
  </si>
  <si>
    <t>P001</t>
  </si>
  <si>
    <t>Wireless Headphones</t>
  </si>
  <si>
    <t>Electronics</t>
  </si>
  <si>
    <t>Audio</t>
  </si>
  <si>
    <t>Boat</t>
  </si>
  <si>
    <t>Credit Card</t>
  </si>
  <si>
    <t>Delivered</t>
  </si>
  <si>
    <t>Small Business</t>
  </si>
  <si>
    <t>Express</t>
  </si>
  <si>
    <t>C023</t>
  </si>
  <si>
    <t>Aditya Sharma</t>
  </si>
  <si>
    <t>Jaipur</t>
  </si>
  <si>
    <t>Rajasthan</t>
  </si>
  <si>
    <t>P005</t>
  </si>
  <si>
    <t>Bluetooth Speaker</t>
  </si>
  <si>
    <t>JBL</t>
  </si>
  <si>
    <t>C013</t>
  </si>
  <si>
    <t>Arjun Malhotra</t>
  </si>
  <si>
    <t>Chennai</t>
  </si>
  <si>
    <t>Tamil Nadu</t>
  </si>
  <si>
    <t>South</t>
  </si>
  <si>
    <t>P003</t>
  </si>
  <si>
    <t>Laptop</t>
  </si>
  <si>
    <t>Computers</t>
  </si>
  <si>
    <t>HP</t>
  </si>
  <si>
    <t>Corporate</t>
  </si>
  <si>
    <t>C043</t>
  </si>
  <si>
    <t>Rohan Desai</t>
  </si>
  <si>
    <t>Pune</t>
  </si>
  <si>
    <t>P013</t>
  </si>
  <si>
    <t>Face Wash</t>
  </si>
  <si>
    <t>Beauty</t>
  </si>
  <si>
    <t>Skincare</t>
  </si>
  <si>
    <t>Nivea</t>
  </si>
  <si>
    <t>Net Banking</t>
  </si>
  <si>
    <t>C021</t>
  </si>
  <si>
    <t>Kabir Shah</t>
  </si>
  <si>
    <t>Hyderabad</t>
  </si>
  <si>
    <t>Telangana</t>
  </si>
  <si>
    <t>C057</t>
  </si>
  <si>
    <t>Vihaan Patel</t>
  </si>
  <si>
    <t>P007</t>
  </si>
  <si>
    <t>T-Shirt</t>
  </si>
  <si>
    <t>Fashion</t>
  </si>
  <si>
    <t>Clothing</t>
  </si>
  <si>
    <t>Puma</t>
  </si>
  <si>
    <t>Debit Card</t>
  </si>
  <si>
    <t>C032</t>
  </si>
  <si>
    <t>Reyansh Joshi</t>
  </si>
  <si>
    <t>P014</t>
  </si>
  <si>
    <t>Perfume</t>
  </si>
  <si>
    <t>Fragrance</t>
  </si>
  <si>
    <t>Fogg</t>
  </si>
  <si>
    <t>C056</t>
  </si>
  <si>
    <t>Ishaan Verma</t>
  </si>
  <si>
    <t>Cancelled</t>
  </si>
  <si>
    <t>C049</t>
  </si>
  <si>
    <t>Dhruv Nair</t>
  </si>
  <si>
    <t>Aanya Mehta</t>
  </si>
  <si>
    <t>Bengaluru</t>
  </si>
  <si>
    <t>Karnataka</t>
  </si>
  <si>
    <t>P006</t>
  </si>
  <si>
    <t>Running Shoes</t>
  </si>
  <si>
    <t>Footwear</t>
  </si>
  <si>
    <t>Nike</t>
  </si>
  <si>
    <t>C050</t>
  </si>
  <si>
    <t>Anaya Kapoor</t>
  </si>
  <si>
    <t>Delhi</t>
  </si>
  <si>
    <t>Diya Sharma</t>
  </si>
  <si>
    <t>P018</t>
  </si>
  <si>
    <t>Desk Organizer</t>
  </si>
  <si>
    <t>Stationery</t>
  </si>
  <si>
    <t>Office</t>
  </si>
  <si>
    <t>Oddy</t>
  </si>
  <si>
    <t>Myra Malhotra</t>
  </si>
  <si>
    <t>P008</t>
  </si>
  <si>
    <t>Backpack</t>
  </si>
  <si>
    <t>Accessories</t>
  </si>
  <si>
    <t>Wildcraft</t>
  </si>
  <si>
    <t>Same Day</t>
  </si>
  <si>
    <t>C031</t>
  </si>
  <si>
    <t>Kiara Desai</t>
  </si>
  <si>
    <t>C004</t>
  </si>
  <si>
    <t>Riya Shah</t>
  </si>
  <si>
    <t>C052</t>
  </si>
  <si>
    <t>Ira Patel</t>
  </si>
  <si>
    <t>Ahmedabad</t>
  </si>
  <si>
    <t>Gujarat</t>
  </si>
  <si>
    <t>C001</t>
  </si>
  <si>
    <t>Tara Joshi</t>
  </si>
  <si>
    <t>Avni Verma</t>
  </si>
  <si>
    <t>C005</t>
  </si>
  <si>
    <t>Anika Nair</t>
  </si>
  <si>
    <t>Kolkata</t>
  </si>
  <si>
    <t>West Bengal</t>
  </si>
  <si>
    <t>East</t>
  </si>
  <si>
    <t>Neel Mehta</t>
  </si>
  <si>
    <t>C035</t>
  </si>
  <si>
    <t>Yash Kapoor</t>
  </si>
  <si>
    <t>P011</t>
  </si>
  <si>
    <t>LED Table Lamp</t>
  </si>
  <si>
    <t>Lighting</t>
  </si>
  <si>
    <t>Wipro</t>
  </si>
  <si>
    <t>C053</t>
  </si>
  <si>
    <t>Kunal Sharma</t>
  </si>
  <si>
    <t>C041</t>
  </si>
  <si>
    <t>Varun Malhotra</t>
  </si>
  <si>
    <t>Cash on Delivery</t>
  </si>
  <si>
    <t>C048</t>
  </si>
  <si>
    <t>Rahul Desai</t>
  </si>
  <si>
    <t>C024</t>
  </si>
  <si>
    <t>Siddharth Shah</t>
  </si>
  <si>
    <t>P002</t>
  </si>
  <si>
    <t>Smartphone</t>
  </si>
  <si>
    <t>Mobile</t>
  </si>
  <si>
    <t>Samsung</t>
  </si>
  <si>
    <t>C011</t>
  </si>
  <si>
    <t>Manav Patel</t>
  </si>
  <si>
    <t>Dev Joshi</t>
  </si>
  <si>
    <t>C042</t>
  </si>
  <si>
    <t>Arnav Verma</t>
  </si>
  <si>
    <t>C039</t>
  </si>
  <si>
    <t>Harsh Nair</t>
  </si>
  <si>
    <t>Meera Mehta</t>
  </si>
  <si>
    <t>C009</t>
  </si>
  <si>
    <t>Nisha Kapoor</t>
  </si>
  <si>
    <t>P017</t>
  </si>
  <si>
    <t>Pen Set</t>
  </si>
  <si>
    <t>Cello</t>
  </si>
  <si>
    <t>Pooja Sharma</t>
  </si>
  <si>
    <t>Kavya Malhotra</t>
  </si>
  <si>
    <t>P016</t>
  </si>
  <si>
    <t>Notebook Set</t>
  </si>
  <si>
    <t>Classmate</t>
  </si>
  <si>
    <t>C045</t>
  </si>
  <si>
    <t>Sneha Desai</t>
  </si>
  <si>
    <t>C016</t>
  </si>
  <si>
    <t>Ishita Shah</t>
  </si>
  <si>
    <t>Radhika Patel</t>
  </si>
  <si>
    <t>Tanvi Joshi</t>
  </si>
  <si>
    <t>C054</t>
  </si>
  <si>
    <t>Simran Verma</t>
  </si>
  <si>
    <t>C058</t>
  </si>
  <si>
    <t>Shruti Nair</t>
  </si>
  <si>
    <t>P012</t>
  </si>
  <si>
    <t>Cookware Set</t>
  </si>
  <si>
    <t>Kitchen</t>
  </si>
  <si>
    <t>Prestige</t>
  </si>
  <si>
    <t>Aryan Mehta</t>
  </si>
  <si>
    <t>Rudra Kapoor</t>
  </si>
  <si>
    <t>Atharv Sharma</t>
  </si>
  <si>
    <t>C017</t>
  </si>
  <si>
    <t>Krish Malhotra</t>
  </si>
  <si>
    <t>C046</t>
  </si>
  <si>
    <t>Ayaan Desai</t>
  </si>
  <si>
    <t>P010</t>
  </si>
  <si>
    <t>Office Chair</t>
  </si>
  <si>
    <t>Furniture</t>
  </si>
  <si>
    <t>Green Soul</t>
  </si>
  <si>
    <t>Shaurya Shah</t>
  </si>
  <si>
    <t>P004</t>
  </si>
  <si>
    <t>Smart Watch</t>
  </si>
  <si>
    <t>Wearables</t>
  </si>
  <si>
    <t>Noise</t>
  </si>
  <si>
    <t>Ved Patel</t>
  </si>
  <si>
    <t>C040</t>
  </si>
  <si>
    <t>Samarth Joshi</t>
  </si>
  <si>
    <t>Adit Verma</t>
  </si>
  <si>
    <t>C051</t>
  </si>
  <si>
    <t>Ritvik Nair</t>
  </si>
  <si>
    <t>Anvi Mehta</t>
  </si>
  <si>
    <t>Navya Kapoor</t>
  </si>
  <si>
    <t>C019</t>
  </si>
  <si>
    <t>Sia Sharma</t>
  </si>
  <si>
    <t>Mahi Malhotra</t>
  </si>
  <si>
    <t>Ishani Desai</t>
  </si>
  <si>
    <t>C014</t>
  </si>
  <si>
    <t>Prisha Shah</t>
  </si>
  <si>
    <t>C003</t>
  </si>
  <si>
    <t>Kiara Patel</t>
  </si>
  <si>
    <t>C010</t>
  </si>
  <si>
    <t>Rhea Joshi</t>
  </si>
  <si>
    <t>Aarohi Verma</t>
  </si>
  <si>
    <t>Vanya Nair</t>
  </si>
  <si>
    <t>Aman Mehta</t>
  </si>
  <si>
    <t>Rajat Kapoor</t>
  </si>
  <si>
    <t>Nikhil Sharma</t>
  </si>
  <si>
    <t>Mohit Malhotra</t>
  </si>
  <si>
    <t>P015</t>
  </si>
  <si>
    <t>Hair Dryer</t>
  </si>
  <si>
    <t>Personal Care</t>
  </si>
  <si>
    <t>Saurabh Desai</t>
  </si>
  <si>
    <t>C060</t>
  </si>
  <si>
    <t>Abhishek Shah</t>
  </si>
  <si>
    <t>C025</t>
  </si>
  <si>
    <t>Akash Patel</t>
  </si>
  <si>
    <t>Ritesh Joshi</t>
  </si>
  <si>
    <t>Vikram Verma</t>
  </si>
  <si>
    <t>Nitin Nair</t>
  </si>
  <si>
    <t>Shreya Mehta</t>
  </si>
  <si>
    <t>Neha Kapoor</t>
  </si>
  <si>
    <t>Swara Sharma</t>
  </si>
  <si>
    <t>Palak Malhotra</t>
  </si>
  <si>
    <t>Muskan Desai</t>
  </si>
  <si>
    <t>Anushka Shah</t>
  </si>
  <si>
    <t>Ishika Patel</t>
  </si>
  <si>
    <t>Payal Joshi</t>
  </si>
  <si>
    <t>C015</t>
  </si>
  <si>
    <t>Ritika Verma</t>
  </si>
  <si>
    <t>Komal Nair</t>
  </si>
  <si>
    <t>Zoya Mehta</t>
  </si>
  <si>
    <t>Aisha Kapoor</t>
  </si>
  <si>
    <t>Alisha Sharma</t>
  </si>
  <si>
    <t>Sara Malhotra</t>
  </si>
  <si>
    <t>C033</t>
  </si>
  <si>
    <t>Mira Desai</t>
  </si>
  <si>
    <t>Aditi Shah</t>
  </si>
  <si>
    <t>Sana Patel</t>
  </si>
  <si>
    <t>C044</t>
  </si>
  <si>
    <t>Nandini Joshi</t>
  </si>
  <si>
    <t>C022</t>
  </si>
  <si>
    <t>Roshni Verma</t>
  </si>
  <si>
    <t>C007</t>
  </si>
  <si>
    <t>Kritika Nair</t>
  </si>
  <si>
    <t>C012</t>
  </si>
  <si>
    <t>Devansh Mehta</t>
  </si>
  <si>
    <t>C034</t>
  </si>
  <si>
    <t>Kartik Kapoor</t>
  </si>
  <si>
    <t>Parth Sharma</t>
  </si>
  <si>
    <t>Om Malhotra</t>
  </si>
  <si>
    <t>Raghav Desai</t>
  </si>
  <si>
    <t>Laksh Shah</t>
  </si>
  <si>
    <t>C002</t>
  </si>
  <si>
    <t>Tanish Patel</t>
  </si>
  <si>
    <t>Yuvraj Joshi</t>
  </si>
  <si>
    <t>Manish Verma</t>
  </si>
  <si>
    <t>Rishi Nair</t>
  </si>
  <si>
    <t>Profit_Margin</t>
  </si>
  <si>
    <t>Order_Month</t>
  </si>
  <si>
    <t>Order_Year</t>
  </si>
  <si>
    <t>Order_Value_Category</t>
  </si>
  <si>
    <t>KPI</t>
  </si>
  <si>
    <t>Value</t>
  </si>
  <si>
    <t>Total Sales</t>
  </si>
  <si>
    <t>Total Profit</t>
  </si>
  <si>
    <t>Total Orders</t>
  </si>
  <si>
    <t>Total Quantity</t>
  </si>
  <si>
    <t>Average Order Value</t>
  </si>
  <si>
    <t>Average Profit Margin</t>
  </si>
  <si>
    <t>Average Delivery Days</t>
  </si>
  <si>
    <t>Row Labels</t>
  </si>
  <si>
    <t>Grand Total</t>
  </si>
  <si>
    <t>Sum of Sales</t>
  </si>
  <si>
    <t>Sum of Profit</t>
  </si>
  <si>
    <t>Count of Order_ID</t>
  </si>
  <si>
    <t>Average of Profit_Margin</t>
  </si>
  <si>
    <t>Jan</t>
  </si>
  <si>
    <t>Feb</t>
  </si>
  <si>
    <t>Mar</t>
  </si>
  <si>
    <t>Apr</t>
  </si>
  <si>
    <t>May</t>
  </si>
  <si>
    <t>Jun</t>
  </si>
  <si>
    <t>Jul</t>
  </si>
  <si>
    <t>Aug</t>
  </si>
  <si>
    <t>Sep</t>
  </si>
  <si>
    <t>Average of Delivery_Days</t>
  </si>
  <si>
    <t>7.62 cm</t>
  </si>
  <si>
    <t>12.76 cm</t>
  </si>
  <si>
    <t>7.48 cm</t>
  </si>
  <si>
    <t>5.82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</si>
</sst>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9" formatCode="0.0%"/>
  </numFmts>
  <fonts count="3" x14ac:knownFonts="1">
    <font>
      <sz val="11"/>
      <color theme="1"/>
      <name val="Calibri"/>
      <family val="2"/>
      <scheme val="minor"/>
    </font>
    <font>
      <b/>
      <sz val="11"/>
      <name val="Calibri"/>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164" fontId="0" fillId="0" borderId="0" xfId="0" applyNumberFormat="1"/>
    <xf numFmtId="0" fontId="2" fillId="0" borderId="1" xfId="0" applyFont="1" applyBorder="1" applyAlignment="1">
      <alignment horizontal="center" vertical="top"/>
    </xf>
    <xf numFmtId="0" fontId="0" fillId="0" borderId="0" xfId="0" applyNumberFormat="1"/>
    <xf numFmtId="0" fontId="0" fillId="0" borderId="0" xfId="0" applyAlignment="1">
      <alignment vertical="center" wrapText="1"/>
    </xf>
    <xf numFmtId="0" fontId="0" fillId="0" borderId="0" xfId="0" pivotButton="1"/>
    <xf numFmtId="0" fontId="0" fillId="0" borderId="0" xfId="0" applyAlignment="1">
      <alignment horizontal="left"/>
    </xf>
    <xf numFmtId="169" fontId="0" fillId="0" borderId="0" xfId="0" applyNumberFormat="1"/>
  </cellXfs>
  <cellStyles count="1">
    <cellStyle name="Normal" xfId="0" builtinId="0"/>
  </cellStyles>
  <dxfs count="4">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[E_Commerce_Business_Analytics_100_Rows_Final.xlsx]Analysis!PivotTable2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latin typeface="+mn-lt"/>
              </a:rPr>
              <a:t>Sales by Category</a:t>
            </a:r>
            <a:endParaRPr lang="en-IN" sz="1800" b="1">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Analysis!$B$25</c:f>
              <c:strCache>
                <c:ptCount val="1"/>
                <c:pt idx="0">
                  <c:v>Total</c:v>
                </c:pt>
              </c:strCache>
            </c:strRef>
          </c:tx>
          <c:spPr>
            <a:solidFill>
              <a:schemeClr val="accent2"/>
            </a:solidFill>
            <a:ln>
              <a:noFill/>
            </a:ln>
            <a:effectLst/>
          </c:spPr>
          <c:invertIfNegative val="0"/>
          <c:cat>
            <c:strRef>
              <c:f>Analysis!$A$26:$A$31</c:f>
              <c:strCache>
                <c:ptCount val="5"/>
                <c:pt idx="0">
                  <c:v>Beauty</c:v>
                </c:pt>
                <c:pt idx="1">
                  <c:v>Electronics</c:v>
                </c:pt>
                <c:pt idx="2">
                  <c:v>Fashion</c:v>
                </c:pt>
                <c:pt idx="3">
                  <c:v>Home &amp; Kitchen</c:v>
                </c:pt>
                <c:pt idx="4">
                  <c:v>Stationery</c:v>
                </c:pt>
              </c:strCache>
            </c:strRef>
          </c:cat>
          <c:val>
            <c:numRef>
              <c:f>Analysis!$B$26:$B$31</c:f>
              <c:numCache>
                <c:formatCode>General</c:formatCode>
                <c:ptCount val="5"/>
                <c:pt idx="0">
                  <c:v>65189.65</c:v>
                </c:pt>
                <c:pt idx="1">
                  <c:v>976659.41000000038</c:v>
                </c:pt>
                <c:pt idx="2">
                  <c:v>67390.05</c:v>
                </c:pt>
                <c:pt idx="3">
                  <c:v>92813.5</c:v>
                </c:pt>
                <c:pt idx="4">
                  <c:v>13888.18</c:v>
                </c:pt>
              </c:numCache>
            </c:numRef>
          </c:val>
          <c:extLst>
            <c:ext xmlns:c16="http://schemas.microsoft.com/office/drawing/2014/chart" uri="{C3380CC4-5D6E-409C-BE32-E72D297353CC}">
              <c16:uniqueId val="{00000000-4055-4754-9154-732E018D95E6}"/>
            </c:ext>
          </c:extLst>
        </c:ser>
        <c:dLbls>
          <c:showLegendKey val="0"/>
          <c:showVal val="0"/>
          <c:showCatName val="0"/>
          <c:showSerName val="0"/>
          <c:showPercent val="0"/>
          <c:showBubbleSize val="0"/>
        </c:dLbls>
        <c:gapWidth val="150"/>
        <c:overlap val="100"/>
        <c:axId val="416226416"/>
        <c:axId val="416226776"/>
      </c:barChart>
      <c:catAx>
        <c:axId val="4162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26776"/>
        <c:crosses val="autoZero"/>
        <c:auto val="1"/>
        <c:lblAlgn val="ctr"/>
        <c:lblOffset val="100"/>
        <c:noMultiLvlLbl val="0"/>
      </c:catAx>
      <c:valAx>
        <c:axId val="416226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2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Profit by Category</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Analysis!$B$40</c:f>
              <c:strCache>
                <c:ptCount val="1"/>
                <c:pt idx="0">
                  <c:v>Total</c:v>
                </c:pt>
              </c:strCache>
            </c:strRef>
          </c:tx>
          <c:spPr>
            <a:solidFill>
              <a:schemeClr val="accent1"/>
            </a:solidFill>
            <a:ln>
              <a:noFill/>
            </a:ln>
            <a:effectLst/>
          </c:spPr>
          <c:invertIfNegative val="0"/>
          <c:cat>
            <c:strRef>
              <c:f>Analysis!$A$41:$A$46</c:f>
              <c:strCache>
                <c:ptCount val="5"/>
                <c:pt idx="0">
                  <c:v>Beauty</c:v>
                </c:pt>
                <c:pt idx="1">
                  <c:v>Electronics</c:v>
                </c:pt>
                <c:pt idx="2">
                  <c:v>Fashion</c:v>
                </c:pt>
                <c:pt idx="3">
                  <c:v>Home &amp; Kitchen</c:v>
                </c:pt>
                <c:pt idx="4">
                  <c:v>Stationery</c:v>
                </c:pt>
              </c:strCache>
            </c:strRef>
          </c:cat>
          <c:val>
            <c:numRef>
              <c:f>Analysis!$B$41:$B$46</c:f>
              <c:numCache>
                <c:formatCode>General</c:formatCode>
                <c:ptCount val="5"/>
                <c:pt idx="0">
                  <c:v>10097.43</c:v>
                </c:pt>
                <c:pt idx="1">
                  <c:v>263677.31000000006</c:v>
                </c:pt>
                <c:pt idx="2">
                  <c:v>7790.5599999999995</c:v>
                </c:pt>
                <c:pt idx="3">
                  <c:v>4069.57</c:v>
                </c:pt>
                <c:pt idx="4">
                  <c:v>3389.3800000000006</c:v>
                </c:pt>
              </c:numCache>
            </c:numRef>
          </c:val>
          <c:extLst>
            <c:ext xmlns:c16="http://schemas.microsoft.com/office/drawing/2014/chart" uri="{C3380CC4-5D6E-409C-BE32-E72D297353CC}">
              <c16:uniqueId val="{00000000-5AB8-4943-A29D-F654B940A6E9}"/>
            </c:ext>
          </c:extLst>
        </c:ser>
        <c:dLbls>
          <c:showLegendKey val="0"/>
          <c:showVal val="0"/>
          <c:showCatName val="0"/>
          <c:showSerName val="0"/>
          <c:showPercent val="0"/>
          <c:showBubbleSize val="0"/>
        </c:dLbls>
        <c:gapWidth val="182"/>
        <c:axId val="636499304"/>
        <c:axId val="636499664"/>
      </c:barChart>
      <c:catAx>
        <c:axId val="636499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499664"/>
        <c:crosses val="autoZero"/>
        <c:auto val="1"/>
        <c:lblAlgn val="ctr"/>
        <c:lblOffset val="100"/>
        <c:noMultiLvlLbl val="0"/>
      </c:catAx>
      <c:valAx>
        <c:axId val="636499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499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Monthly Sales Trend</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Analysis!$B$55</c:f>
              <c:strCache>
                <c:ptCount val="1"/>
                <c:pt idx="0">
                  <c:v>Total</c:v>
                </c:pt>
              </c:strCache>
            </c:strRef>
          </c:tx>
          <c:spPr>
            <a:ln w="28575" cap="rnd">
              <a:solidFill>
                <a:schemeClr val="accent1"/>
              </a:solidFill>
              <a:round/>
            </a:ln>
            <a:effectLst/>
          </c:spPr>
          <c:marker>
            <c:symbol val="none"/>
          </c:marker>
          <c:cat>
            <c:strRef>
              <c:f>Analysis!$A$56:$A$65</c:f>
              <c:strCache>
                <c:ptCount val="9"/>
                <c:pt idx="0">
                  <c:v>Jan</c:v>
                </c:pt>
                <c:pt idx="1">
                  <c:v>Feb</c:v>
                </c:pt>
                <c:pt idx="2">
                  <c:v>Mar</c:v>
                </c:pt>
                <c:pt idx="3">
                  <c:v>Apr</c:v>
                </c:pt>
                <c:pt idx="4">
                  <c:v>May</c:v>
                </c:pt>
                <c:pt idx="5">
                  <c:v>Jun</c:v>
                </c:pt>
                <c:pt idx="6">
                  <c:v>Jul</c:v>
                </c:pt>
                <c:pt idx="7">
                  <c:v>Aug</c:v>
                </c:pt>
                <c:pt idx="8">
                  <c:v>Sep</c:v>
                </c:pt>
              </c:strCache>
            </c:strRef>
          </c:cat>
          <c:val>
            <c:numRef>
              <c:f>Analysis!$B$56:$B$65</c:f>
              <c:numCache>
                <c:formatCode>General</c:formatCode>
                <c:ptCount val="9"/>
                <c:pt idx="0">
                  <c:v>236007.09000000003</c:v>
                </c:pt>
                <c:pt idx="1">
                  <c:v>68313.77</c:v>
                </c:pt>
                <c:pt idx="2">
                  <c:v>569359.2300000001</c:v>
                </c:pt>
                <c:pt idx="3">
                  <c:v>91885.12999999999</c:v>
                </c:pt>
                <c:pt idx="4">
                  <c:v>46589.04</c:v>
                </c:pt>
                <c:pt idx="5">
                  <c:v>42355.22</c:v>
                </c:pt>
                <c:pt idx="6">
                  <c:v>88955.78</c:v>
                </c:pt>
                <c:pt idx="7">
                  <c:v>16804.75</c:v>
                </c:pt>
                <c:pt idx="8">
                  <c:v>55670.78</c:v>
                </c:pt>
              </c:numCache>
            </c:numRef>
          </c:val>
          <c:smooth val="0"/>
          <c:extLst>
            <c:ext xmlns:c16="http://schemas.microsoft.com/office/drawing/2014/chart" uri="{C3380CC4-5D6E-409C-BE32-E72D297353CC}">
              <c16:uniqueId val="{00000000-384D-420F-96A1-5F99592B7147}"/>
            </c:ext>
          </c:extLst>
        </c:ser>
        <c:dLbls>
          <c:showLegendKey val="0"/>
          <c:showVal val="0"/>
          <c:showCatName val="0"/>
          <c:showSerName val="0"/>
          <c:showPercent val="0"/>
          <c:showBubbleSize val="0"/>
        </c:dLbls>
        <c:smooth val="0"/>
        <c:axId val="427368672"/>
        <c:axId val="427369032"/>
      </c:lineChart>
      <c:catAx>
        <c:axId val="42736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69032"/>
        <c:crosses val="autoZero"/>
        <c:auto val="1"/>
        <c:lblAlgn val="ctr"/>
        <c:lblOffset val="100"/>
        <c:noMultiLvlLbl val="0"/>
      </c:catAx>
      <c:valAx>
        <c:axId val="427369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68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Sales by Region</a:t>
            </a:r>
            <a:endParaRPr lang="en-IN"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Analysis!$B$75</c:f>
              <c:strCache>
                <c:ptCount val="1"/>
                <c:pt idx="0">
                  <c:v>Total</c:v>
                </c:pt>
              </c:strCache>
            </c:strRef>
          </c:tx>
          <c:spPr>
            <a:solidFill>
              <a:schemeClr val="accent1"/>
            </a:solidFill>
            <a:ln>
              <a:noFill/>
            </a:ln>
            <a:effectLst/>
          </c:spPr>
          <c:invertIfNegative val="0"/>
          <c:cat>
            <c:strRef>
              <c:f>Analysis!$A$76:$A$80</c:f>
              <c:strCache>
                <c:ptCount val="4"/>
                <c:pt idx="0">
                  <c:v>East</c:v>
                </c:pt>
                <c:pt idx="1">
                  <c:v>North</c:v>
                </c:pt>
                <c:pt idx="2">
                  <c:v>South</c:v>
                </c:pt>
                <c:pt idx="3">
                  <c:v>West</c:v>
                </c:pt>
              </c:strCache>
            </c:strRef>
          </c:cat>
          <c:val>
            <c:numRef>
              <c:f>Analysis!$B$76:$B$80</c:f>
              <c:numCache>
                <c:formatCode>General</c:formatCode>
                <c:ptCount val="4"/>
                <c:pt idx="0">
                  <c:v>202813.21000000002</c:v>
                </c:pt>
                <c:pt idx="1">
                  <c:v>519365.20000000013</c:v>
                </c:pt>
                <c:pt idx="2">
                  <c:v>371481.99</c:v>
                </c:pt>
                <c:pt idx="3">
                  <c:v>122280.38999999998</c:v>
                </c:pt>
              </c:numCache>
            </c:numRef>
          </c:val>
          <c:extLst>
            <c:ext xmlns:c16="http://schemas.microsoft.com/office/drawing/2014/chart" uri="{C3380CC4-5D6E-409C-BE32-E72D297353CC}">
              <c16:uniqueId val="{00000000-D47E-4837-BA1F-0A595C91E7A2}"/>
            </c:ext>
          </c:extLst>
        </c:ser>
        <c:dLbls>
          <c:showLegendKey val="0"/>
          <c:showVal val="0"/>
          <c:showCatName val="0"/>
          <c:showSerName val="0"/>
          <c:showPercent val="0"/>
          <c:showBubbleSize val="0"/>
        </c:dLbls>
        <c:gapWidth val="182"/>
        <c:axId val="629812808"/>
        <c:axId val="629809208"/>
      </c:barChart>
      <c:catAx>
        <c:axId val="629812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09208"/>
        <c:crosses val="autoZero"/>
        <c:auto val="1"/>
        <c:lblAlgn val="ctr"/>
        <c:lblOffset val="100"/>
        <c:noMultiLvlLbl val="0"/>
      </c:catAx>
      <c:valAx>
        <c:axId val="629809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12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t>Top 5 Products by Sales</a:t>
            </a:r>
            <a:endParaRPr lang="en-IN" sz="1800"/>
          </a:p>
        </c:rich>
      </c:tx>
      <c:layout>
        <c:manualLayout>
          <c:xMode val="edge"/>
          <c:yMode val="edge"/>
          <c:x val="0.32472922134733162"/>
          <c:y val="0.11472003499562555"/>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Analysis!$B$90</c:f>
              <c:strCache>
                <c:ptCount val="1"/>
                <c:pt idx="0">
                  <c:v>Total</c:v>
                </c:pt>
              </c:strCache>
            </c:strRef>
          </c:tx>
          <c:spPr>
            <a:solidFill>
              <a:schemeClr val="accent1"/>
            </a:solidFill>
            <a:ln>
              <a:noFill/>
            </a:ln>
            <a:effectLst/>
          </c:spPr>
          <c:invertIfNegative val="0"/>
          <c:cat>
            <c:strRef>
              <c:f>Analysis!$A$91:$A$96</c:f>
              <c:strCache>
                <c:ptCount val="5"/>
                <c:pt idx="0">
                  <c:v>Laptop</c:v>
                </c:pt>
                <c:pt idx="1">
                  <c:v>Smartphone</c:v>
                </c:pt>
                <c:pt idx="2">
                  <c:v>Bluetooth Speaker</c:v>
                </c:pt>
                <c:pt idx="3">
                  <c:v>Smart Watch</c:v>
                </c:pt>
                <c:pt idx="4">
                  <c:v>Perfume</c:v>
                </c:pt>
              </c:strCache>
            </c:strRef>
          </c:cat>
          <c:val>
            <c:numRef>
              <c:f>Analysis!$B$91:$B$96</c:f>
              <c:numCache>
                <c:formatCode>General</c:formatCode>
                <c:ptCount val="5"/>
                <c:pt idx="0">
                  <c:v>601503.55000000005</c:v>
                </c:pt>
                <c:pt idx="1">
                  <c:v>195096.44</c:v>
                </c:pt>
                <c:pt idx="2">
                  <c:v>83207.680000000008</c:v>
                </c:pt>
                <c:pt idx="3">
                  <c:v>68633.3</c:v>
                </c:pt>
                <c:pt idx="4">
                  <c:v>37426.299999999996</c:v>
                </c:pt>
              </c:numCache>
            </c:numRef>
          </c:val>
          <c:extLst>
            <c:ext xmlns:c16="http://schemas.microsoft.com/office/drawing/2014/chart" uri="{C3380CC4-5D6E-409C-BE32-E72D297353CC}">
              <c16:uniqueId val="{00000000-442E-4AD1-BC87-85D71C1741B3}"/>
            </c:ext>
          </c:extLst>
        </c:ser>
        <c:dLbls>
          <c:showLegendKey val="0"/>
          <c:showVal val="0"/>
          <c:showCatName val="0"/>
          <c:showSerName val="0"/>
          <c:showPercent val="0"/>
          <c:showBubbleSize val="0"/>
        </c:dLbls>
        <c:gapWidth val="182"/>
        <c:axId val="555421808"/>
        <c:axId val="555423608"/>
      </c:barChart>
      <c:catAx>
        <c:axId val="55542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23608"/>
        <c:crosses val="autoZero"/>
        <c:auto val="1"/>
        <c:lblAlgn val="ctr"/>
        <c:lblOffset val="100"/>
        <c:noMultiLvlLbl val="0"/>
      </c:catAx>
      <c:valAx>
        <c:axId val="555423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2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Sales &amp; Profit by Customer Segment</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Analysis!$B$105</c:f>
              <c:strCache>
                <c:ptCount val="1"/>
                <c:pt idx="0">
                  <c:v>Sum of Sales</c:v>
                </c:pt>
              </c:strCache>
            </c:strRef>
          </c:tx>
          <c:spPr>
            <a:solidFill>
              <a:schemeClr val="accent1"/>
            </a:solidFill>
            <a:ln>
              <a:noFill/>
            </a:ln>
            <a:effectLst/>
          </c:spPr>
          <c:invertIfNegative val="0"/>
          <c:cat>
            <c:strRef>
              <c:f>Analysis!$A$106:$A$109</c:f>
              <c:strCache>
                <c:ptCount val="3"/>
                <c:pt idx="0">
                  <c:v>Consumer</c:v>
                </c:pt>
                <c:pt idx="1">
                  <c:v>Corporate</c:v>
                </c:pt>
                <c:pt idx="2">
                  <c:v>Small Business</c:v>
                </c:pt>
              </c:strCache>
            </c:strRef>
          </c:cat>
          <c:val>
            <c:numRef>
              <c:f>Analysis!$B$106:$B$109</c:f>
              <c:numCache>
                <c:formatCode>General</c:formatCode>
                <c:ptCount val="3"/>
                <c:pt idx="0">
                  <c:v>327768.32999999996</c:v>
                </c:pt>
                <c:pt idx="1">
                  <c:v>527234.15</c:v>
                </c:pt>
                <c:pt idx="2">
                  <c:v>360938.31000000006</c:v>
                </c:pt>
              </c:numCache>
            </c:numRef>
          </c:val>
          <c:extLst>
            <c:ext xmlns:c16="http://schemas.microsoft.com/office/drawing/2014/chart" uri="{C3380CC4-5D6E-409C-BE32-E72D297353CC}">
              <c16:uniqueId val="{00000000-C951-4627-B158-72ABA846519B}"/>
            </c:ext>
          </c:extLst>
        </c:ser>
        <c:ser>
          <c:idx val="1"/>
          <c:order val="1"/>
          <c:tx>
            <c:strRef>
              <c:f>Analysis!$C$105</c:f>
              <c:strCache>
                <c:ptCount val="1"/>
                <c:pt idx="0">
                  <c:v>Sum of Profit</c:v>
                </c:pt>
              </c:strCache>
            </c:strRef>
          </c:tx>
          <c:spPr>
            <a:solidFill>
              <a:schemeClr val="accent2"/>
            </a:solidFill>
            <a:ln>
              <a:noFill/>
            </a:ln>
            <a:effectLst/>
          </c:spPr>
          <c:invertIfNegative val="0"/>
          <c:cat>
            <c:strRef>
              <c:f>Analysis!$A$106:$A$109</c:f>
              <c:strCache>
                <c:ptCount val="3"/>
                <c:pt idx="0">
                  <c:v>Consumer</c:v>
                </c:pt>
                <c:pt idx="1">
                  <c:v>Corporate</c:v>
                </c:pt>
                <c:pt idx="2">
                  <c:v>Small Business</c:v>
                </c:pt>
              </c:strCache>
            </c:strRef>
          </c:cat>
          <c:val>
            <c:numRef>
              <c:f>Analysis!$C$106:$C$109</c:f>
              <c:numCache>
                <c:formatCode>General</c:formatCode>
                <c:ptCount val="3"/>
                <c:pt idx="0">
                  <c:v>57371.05999999999</c:v>
                </c:pt>
                <c:pt idx="1">
                  <c:v>132322.96000000002</c:v>
                </c:pt>
                <c:pt idx="2">
                  <c:v>99330.230000000025</c:v>
                </c:pt>
              </c:numCache>
            </c:numRef>
          </c:val>
          <c:extLst>
            <c:ext xmlns:c16="http://schemas.microsoft.com/office/drawing/2014/chart" uri="{C3380CC4-5D6E-409C-BE32-E72D297353CC}">
              <c16:uniqueId val="{00000001-C951-4627-B158-72ABA846519B}"/>
            </c:ext>
          </c:extLst>
        </c:ser>
        <c:dLbls>
          <c:showLegendKey val="0"/>
          <c:showVal val="0"/>
          <c:showCatName val="0"/>
          <c:showSerName val="0"/>
          <c:showPercent val="0"/>
          <c:showBubbleSize val="0"/>
        </c:dLbls>
        <c:gapWidth val="219"/>
        <c:overlap val="-27"/>
        <c:axId val="645160936"/>
        <c:axId val="645159856"/>
      </c:barChart>
      <c:catAx>
        <c:axId val="645160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59856"/>
        <c:crosses val="autoZero"/>
        <c:auto val="1"/>
        <c:lblAlgn val="ctr"/>
        <c:lblOffset val="100"/>
        <c:noMultiLvlLbl val="0"/>
      </c:catAx>
      <c:valAx>
        <c:axId val="64515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60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Orders by Payment Method</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Analysis!$B$120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Analysis!$A$121:$A$126</c:f>
              <c:strCache>
                <c:ptCount val="5"/>
                <c:pt idx="0">
                  <c:v>Cash on Delivery</c:v>
                </c:pt>
                <c:pt idx="1">
                  <c:v>Credit Card</c:v>
                </c:pt>
                <c:pt idx="2">
                  <c:v>Debit Card</c:v>
                </c:pt>
                <c:pt idx="3">
                  <c:v>Net Banking</c:v>
                </c:pt>
                <c:pt idx="4">
                  <c:v>UPI</c:v>
                </c:pt>
              </c:strCache>
            </c:strRef>
          </c:cat>
          <c:val>
            <c:numRef>
              <c:f>Analysis!$B$121:$B$126</c:f>
              <c:numCache>
                <c:formatCode>General</c:formatCode>
                <c:ptCount val="5"/>
                <c:pt idx="0">
                  <c:v>14</c:v>
                </c:pt>
                <c:pt idx="1">
                  <c:v>23</c:v>
                </c:pt>
                <c:pt idx="2">
                  <c:v>25</c:v>
                </c:pt>
                <c:pt idx="3">
                  <c:v>12</c:v>
                </c:pt>
                <c:pt idx="4">
                  <c:v>26</c:v>
                </c:pt>
              </c:numCache>
            </c:numRef>
          </c:val>
          <c:extLst>
            <c:ext xmlns:c16="http://schemas.microsoft.com/office/drawing/2014/chart" uri="{C3380CC4-5D6E-409C-BE32-E72D297353CC}">
              <c16:uniqueId val="{00000000-E16A-4D24-8D6C-DCF1F55025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Order Status Distribution</a:t>
            </a:r>
            <a:endParaRPr lang="en-IN" sz="1800"/>
          </a:p>
          <a:p>
            <a:pPr>
              <a:defRPr/>
            </a:pPr>
            <a:r>
              <a:rPr lang="en-IN" sz="1800" b="1"/>
              <a:t>Final setup</a:t>
            </a:r>
          </a:p>
          <a:p>
            <a:pPr>
              <a:defRPr/>
            </a:pPr>
            <a:endParaRPr lang="en-IN"/>
          </a:p>
        </c:rich>
      </c:tx>
      <c:layout>
        <c:manualLayout>
          <c:xMode val="edge"/>
          <c:yMode val="edge"/>
          <c:x val="0.18952077865266842"/>
          <c:y val="0.2119422572178477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Analysis!$B$135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Analysis!$A$136:$A$139</c:f>
              <c:strCache>
                <c:ptCount val="3"/>
                <c:pt idx="0">
                  <c:v>Cancelled</c:v>
                </c:pt>
                <c:pt idx="1">
                  <c:v>Delivered</c:v>
                </c:pt>
                <c:pt idx="2">
                  <c:v>Returned</c:v>
                </c:pt>
              </c:strCache>
            </c:strRef>
          </c:cat>
          <c:val>
            <c:numRef>
              <c:f>Analysis!$B$136:$B$139</c:f>
              <c:numCache>
                <c:formatCode>General</c:formatCode>
                <c:ptCount val="3"/>
                <c:pt idx="0">
                  <c:v>14</c:v>
                </c:pt>
                <c:pt idx="1">
                  <c:v>68</c:v>
                </c:pt>
                <c:pt idx="2">
                  <c:v>18</c:v>
                </c:pt>
              </c:numCache>
            </c:numRef>
          </c:val>
          <c:extLst>
            <c:ext xmlns:c16="http://schemas.microsoft.com/office/drawing/2014/chart" uri="{C3380CC4-5D6E-409C-BE32-E72D297353CC}">
              <c16:uniqueId val="{00000000-4324-4CF2-8E5B-B2F41FC0FF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t>Average Delivery Days by Shipping Mode</a:t>
            </a:r>
            <a:endParaRPr lang="en-IN"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Analysis!$B$150</c:f>
              <c:strCache>
                <c:ptCount val="1"/>
                <c:pt idx="0">
                  <c:v>Total</c:v>
                </c:pt>
              </c:strCache>
            </c:strRef>
          </c:tx>
          <c:spPr>
            <a:solidFill>
              <a:schemeClr val="accent1"/>
            </a:solidFill>
            <a:ln>
              <a:noFill/>
            </a:ln>
            <a:effectLst/>
          </c:spPr>
          <c:invertIfNegative val="0"/>
          <c:cat>
            <c:strRef>
              <c:f>Analysis!$A$151:$A$154</c:f>
              <c:strCache>
                <c:ptCount val="3"/>
                <c:pt idx="0">
                  <c:v>Express</c:v>
                </c:pt>
                <c:pt idx="1">
                  <c:v>Same Day</c:v>
                </c:pt>
                <c:pt idx="2">
                  <c:v>Standard</c:v>
                </c:pt>
              </c:strCache>
            </c:strRef>
          </c:cat>
          <c:val>
            <c:numRef>
              <c:f>Analysis!$B$151:$B$154</c:f>
              <c:numCache>
                <c:formatCode>General</c:formatCode>
                <c:ptCount val="3"/>
                <c:pt idx="0">
                  <c:v>2.7419354838709675</c:v>
                </c:pt>
                <c:pt idx="1">
                  <c:v>4.6428571428571432</c:v>
                </c:pt>
                <c:pt idx="2">
                  <c:v>3.2439024390243905</c:v>
                </c:pt>
              </c:numCache>
            </c:numRef>
          </c:val>
          <c:extLst>
            <c:ext xmlns:c16="http://schemas.microsoft.com/office/drawing/2014/chart" uri="{C3380CC4-5D6E-409C-BE32-E72D297353CC}">
              <c16:uniqueId val="{00000000-255C-4F32-B9A6-86700A122FD7}"/>
            </c:ext>
          </c:extLst>
        </c:ser>
        <c:dLbls>
          <c:showLegendKey val="0"/>
          <c:showVal val="0"/>
          <c:showCatName val="0"/>
          <c:showSerName val="0"/>
          <c:showPercent val="0"/>
          <c:showBubbleSize val="0"/>
        </c:dLbls>
        <c:gapWidth val="219"/>
        <c:overlap val="-27"/>
        <c:axId val="561713960"/>
        <c:axId val="561715400"/>
      </c:barChart>
      <c:catAx>
        <c:axId val="561713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15400"/>
        <c:crosses val="autoZero"/>
        <c:auto val="1"/>
        <c:lblAlgn val="ctr"/>
        <c:lblOffset val="100"/>
        <c:noMultiLvlLbl val="0"/>
      </c:catAx>
      <c:valAx>
        <c:axId val="561715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713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2"/>
                </a:solidFill>
              </a:rPr>
              <a:t>Monthly Sales Trend</a:t>
            </a:r>
            <a:endParaRPr lang="en-IN" sz="18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Analysis!$B$55</c:f>
              <c:strCache>
                <c:ptCount val="1"/>
                <c:pt idx="0">
                  <c:v>Total</c:v>
                </c:pt>
              </c:strCache>
            </c:strRef>
          </c:tx>
          <c:spPr>
            <a:ln w="28575" cap="rnd">
              <a:solidFill>
                <a:schemeClr val="accent1"/>
              </a:solidFill>
              <a:round/>
            </a:ln>
            <a:effectLst/>
          </c:spPr>
          <c:marker>
            <c:symbol val="none"/>
          </c:marker>
          <c:cat>
            <c:strRef>
              <c:f>Analysis!$A$56:$A$65</c:f>
              <c:strCache>
                <c:ptCount val="9"/>
                <c:pt idx="0">
                  <c:v>Jan</c:v>
                </c:pt>
                <c:pt idx="1">
                  <c:v>Feb</c:v>
                </c:pt>
                <c:pt idx="2">
                  <c:v>Mar</c:v>
                </c:pt>
                <c:pt idx="3">
                  <c:v>Apr</c:v>
                </c:pt>
                <c:pt idx="4">
                  <c:v>May</c:v>
                </c:pt>
                <c:pt idx="5">
                  <c:v>Jun</c:v>
                </c:pt>
                <c:pt idx="6">
                  <c:v>Jul</c:v>
                </c:pt>
                <c:pt idx="7">
                  <c:v>Aug</c:v>
                </c:pt>
                <c:pt idx="8">
                  <c:v>Sep</c:v>
                </c:pt>
              </c:strCache>
            </c:strRef>
          </c:cat>
          <c:val>
            <c:numRef>
              <c:f>Analysis!$B$56:$B$65</c:f>
              <c:numCache>
                <c:formatCode>General</c:formatCode>
                <c:ptCount val="9"/>
                <c:pt idx="0">
                  <c:v>236007.09000000003</c:v>
                </c:pt>
                <c:pt idx="1">
                  <c:v>68313.77</c:v>
                </c:pt>
                <c:pt idx="2">
                  <c:v>569359.2300000001</c:v>
                </c:pt>
                <c:pt idx="3">
                  <c:v>91885.12999999999</c:v>
                </c:pt>
                <c:pt idx="4">
                  <c:v>46589.04</c:v>
                </c:pt>
                <c:pt idx="5">
                  <c:v>42355.22</c:v>
                </c:pt>
                <c:pt idx="6">
                  <c:v>88955.78</c:v>
                </c:pt>
                <c:pt idx="7">
                  <c:v>16804.75</c:v>
                </c:pt>
                <c:pt idx="8">
                  <c:v>55670.78</c:v>
                </c:pt>
              </c:numCache>
            </c:numRef>
          </c:val>
          <c:smooth val="0"/>
          <c:extLst>
            <c:ext xmlns:c16="http://schemas.microsoft.com/office/drawing/2014/chart" uri="{C3380CC4-5D6E-409C-BE32-E72D297353CC}">
              <c16:uniqueId val="{00000000-61FD-4C62-A7E2-5C3472C17CA6}"/>
            </c:ext>
          </c:extLst>
        </c:ser>
        <c:dLbls>
          <c:showLegendKey val="0"/>
          <c:showVal val="0"/>
          <c:showCatName val="0"/>
          <c:showSerName val="0"/>
          <c:showPercent val="0"/>
          <c:showBubbleSize val="0"/>
        </c:dLbls>
        <c:smooth val="0"/>
        <c:axId val="427368672"/>
        <c:axId val="427369032"/>
      </c:lineChart>
      <c:catAx>
        <c:axId val="42736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69032"/>
        <c:crosses val="autoZero"/>
        <c:auto val="1"/>
        <c:lblAlgn val="ctr"/>
        <c:lblOffset val="100"/>
        <c:noMultiLvlLbl val="0"/>
      </c:catAx>
      <c:valAx>
        <c:axId val="427369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368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[E_Commerce_Business_Analytics_100_Rows_Final.xlsx]Analysis!PivotTable2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2"/>
                </a:solidFill>
                <a:latin typeface="+mn-lt"/>
              </a:rPr>
              <a:t>Sales by Category</a:t>
            </a:r>
            <a:endParaRPr lang="en-IN" sz="1800" b="1">
              <a:solidFill>
                <a:schemeClr val="tx2"/>
              </a:solidFill>
              <a:latin typeface="+mn-lt"/>
            </a:endParaRPr>
          </a:p>
        </c:rich>
      </c:tx>
      <c:layout>
        <c:manualLayout>
          <c:xMode val="edge"/>
          <c:yMode val="edge"/>
          <c:x val="0.34735761460761461"/>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Analysis!$B$25</c:f>
              <c:strCache>
                <c:ptCount val="1"/>
                <c:pt idx="0">
                  <c:v>Total</c:v>
                </c:pt>
              </c:strCache>
            </c:strRef>
          </c:tx>
          <c:spPr>
            <a:solidFill>
              <a:schemeClr val="accent1"/>
            </a:solidFill>
            <a:ln>
              <a:noFill/>
            </a:ln>
            <a:effectLst/>
          </c:spPr>
          <c:invertIfNegative val="0"/>
          <c:cat>
            <c:strRef>
              <c:f>Analysis!$A$26:$A$31</c:f>
              <c:strCache>
                <c:ptCount val="5"/>
                <c:pt idx="0">
                  <c:v>Beauty</c:v>
                </c:pt>
                <c:pt idx="1">
                  <c:v>Electronics</c:v>
                </c:pt>
                <c:pt idx="2">
                  <c:v>Fashion</c:v>
                </c:pt>
                <c:pt idx="3">
                  <c:v>Home &amp; Kitchen</c:v>
                </c:pt>
                <c:pt idx="4">
                  <c:v>Stationery</c:v>
                </c:pt>
              </c:strCache>
            </c:strRef>
          </c:cat>
          <c:val>
            <c:numRef>
              <c:f>Analysis!$B$26:$B$31</c:f>
              <c:numCache>
                <c:formatCode>General</c:formatCode>
                <c:ptCount val="5"/>
                <c:pt idx="0">
                  <c:v>65189.65</c:v>
                </c:pt>
                <c:pt idx="1">
                  <c:v>976659.41000000038</c:v>
                </c:pt>
                <c:pt idx="2">
                  <c:v>67390.05</c:v>
                </c:pt>
                <c:pt idx="3">
                  <c:v>92813.5</c:v>
                </c:pt>
                <c:pt idx="4">
                  <c:v>13888.18</c:v>
                </c:pt>
              </c:numCache>
            </c:numRef>
          </c:val>
          <c:extLst>
            <c:ext xmlns:c16="http://schemas.microsoft.com/office/drawing/2014/chart" uri="{C3380CC4-5D6E-409C-BE32-E72D297353CC}">
              <c16:uniqueId val="{00000000-04E3-471A-8FA2-82A2A9149041}"/>
            </c:ext>
          </c:extLst>
        </c:ser>
        <c:dLbls>
          <c:showLegendKey val="0"/>
          <c:showVal val="0"/>
          <c:showCatName val="0"/>
          <c:showSerName val="0"/>
          <c:showPercent val="0"/>
          <c:showBubbleSize val="0"/>
        </c:dLbls>
        <c:gapWidth val="150"/>
        <c:overlap val="100"/>
        <c:axId val="416226416"/>
        <c:axId val="416226776"/>
      </c:barChart>
      <c:catAx>
        <c:axId val="4162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26776"/>
        <c:crosses val="autoZero"/>
        <c:auto val="1"/>
        <c:lblAlgn val="ctr"/>
        <c:lblOffset val="100"/>
        <c:noMultiLvlLbl val="0"/>
      </c:catAx>
      <c:valAx>
        <c:axId val="416226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22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a:solidFill>
                  <a:schemeClr val="tx2"/>
                </a:solidFill>
              </a:rPr>
              <a:t>Top 5 Products by Sales</a:t>
            </a:r>
            <a:endParaRPr lang="en-IN" sz="1800">
              <a:solidFill>
                <a:schemeClr val="tx2"/>
              </a:solidFill>
            </a:endParaRPr>
          </a:p>
        </c:rich>
      </c:tx>
      <c:layout>
        <c:manualLayout>
          <c:xMode val="edge"/>
          <c:yMode val="edge"/>
          <c:x val="0.32472921522921527"/>
          <c:y val="4.527559055118110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Analysis!$B$90</c:f>
              <c:strCache>
                <c:ptCount val="1"/>
                <c:pt idx="0">
                  <c:v>Total</c:v>
                </c:pt>
              </c:strCache>
            </c:strRef>
          </c:tx>
          <c:spPr>
            <a:solidFill>
              <a:schemeClr val="accent1"/>
            </a:solidFill>
            <a:ln>
              <a:noFill/>
            </a:ln>
            <a:effectLst/>
          </c:spPr>
          <c:invertIfNegative val="0"/>
          <c:cat>
            <c:strRef>
              <c:f>Analysis!$A$91:$A$96</c:f>
              <c:strCache>
                <c:ptCount val="5"/>
                <c:pt idx="0">
                  <c:v>Laptop</c:v>
                </c:pt>
                <c:pt idx="1">
                  <c:v>Smartphone</c:v>
                </c:pt>
                <c:pt idx="2">
                  <c:v>Bluetooth Speaker</c:v>
                </c:pt>
                <c:pt idx="3">
                  <c:v>Smart Watch</c:v>
                </c:pt>
                <c:pt idx="4">
                  <c:v>Perfume</c:v>
                </c:pt>
              </c:strCache>
            </c:strRef>
          </c:cat>
          <c:val>
            <c:numRef>
              <c:f>Analysis!$B$91:$B$96</c:f>
              <c:numCache>
                <c:formatCode>General</c:formatCode>
                <c:ptCount val="5"/>
                <c:pt idx="0">
                  <c:v>601503.55000000005</c:v>
                </c:pt>
                <c:pt idx="1">
                  <c:v>195096.44</c:v>
                </c:pt>
                <c:pt idx="2">
                  <c:v>83207.680000000008</c:v>
                </c:pt>
                <c:pt idx="3">
                  <c:v>68633.3</c:v>
                </c:pt>
                <c:pt idx="4">
                  <c:v>37426.299999999996</c:v>
                </c:pt>
              </c:numCache>
            </c:numRef>
          </c:val>
          <c:extLst>
            <c:ext xmlns:c16="http://schemas.microsoft.com/office/drawing/2014/chart" uri="{C3380CC4-5D6E-409C-BE32-E72D297353CC}">
              <c16:uniqueId val="{00000000-7BB3-46C0-91B9-145B10C6EF5B}"/>
            </c:ext>
          </c:extLst>
        </c:ser>
        <c:dLbls>
          <c:showLegendKey val="0"/>
          <c:showVal val="0"/>
          <c:showCatName val="0"/>
          <c:showSerName val="0"/>
          <c:showPercent val="0"/>
          <c:showBubbleSize val="0"/>
        </c:dLbls>
        <c:gapWidth val="182"/>
        <c:axId val="555421808"/>
        <c:axId val="555423608"/>
      </c:barChart>
      <c:catAx>
        <c:axId val="55542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23608"/>
        <c:crosses val="autoZero"/>
        <c:auto val="1"/>
        <c:lblAlgn val="ctr"/>
        <c:lblOffset val="100"/>
        <c:noMultiLvlLbl val="0"/>
      </c:catAx>
      <c:valAx>
        <c:axId val="555423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421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2"/>
                </a:solidFill>
              </a:rPr>
              <a:t>Sales by Region</a:t>
            </a:r>
            <a:endParaRPr lang="en-IN" sz="1800">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Analysis!$B$75</c:f>
              <c:strCache>
                <c:ptCount val="1"/>
                <c:pt idx="0">
                  <c:v>Total</c:v>
                </c:pt>
              </c:strCache>
            </c:strRef>
          </c:tx>
          <c:spPr>
            <a:solidFill>
              <a:schemeClr val="accent1"/>
            </a:solidFill>
            <a:ln>
              <a:noFill/>
            </a:ln>
            <a:effectLst/>
          </c:spPr>
          <c:invertIfNegative val="0"/>
          <c:cat>
            <c:strRef>
              <c:f>Analysis!$A$76:$A$80</c:f>
              <c:strCache>
                <c:ptCount val="4"/>
                <c:pt idx="0">
                  <c:v>East</c:v>
                </c:pt>
                <c:pt idx="1">
                  <c:v>North</c:v>
                </c:pt>
                <c:pt idx="2">
                  <c:v>South</c:v>
                </c:pt>
                <c:pt idx="3">
                  <c:v>West</c:v>
                </c:pt>
              </c:strCache>
            </c:strRef>
          </c:cat>
          <c:val>
            <c:numRef>
              <c:f>Analysis!$B$76:$B$80</c:f>
              <c:numCache>
                <c:formatCode>General</c:formatCode>
                <c:ptCount val="4"/>
                <c:pt idx="0">
                  <c:v>202813.21000000002</c:v>
                </c:pt>
                <c:pt idx="1">
                  <c:v>519365.20000000013</c:v>
                </c:pt>
                <c:pt idx="2">
                  <c:v>371481.99</c:v>
                </c:pt>
                <c:pt idx="3">
                  <c:v>122280.38999999998</c:v>
                </c:pt>
              </c:numCache>
            </c:numRef>
          </c:val>
          <c:extLst>
            <c:ext xmlns:c16="http://schemas.microsoft.com/office/drawing/2014/chart" uri="{C3380CC4-5D6E-409C-BE32-E72D297353CC}">
              <c16:uniqueId val="{00000000-7A14-45B3-9800-005B3EE7C4B5}"/>
            </c:ext>
          </c:extLst>
        </c:ser>
        <c:dLbls>
          <c:showLegendKey val="0"/>
          <c:showVal val="0"/>
          <c:showCatName val="0"/>
          <c:showSerName val="0"/>
          <c:showPercent val="0"/>
          <c:showBubbleSize val="0"/>
        </c:dLbls>
        <c:gapWidth val="182"/>
        <c:axId val="629812808"/>
        <c:axId val="629809208"/>
      </c:barChart>
      <c:catAx>
        <c:axId val="629812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09208"/>
        <c:crosses val="autoZero"/>
        <c:auto val="1"/>
        <c:lblAlgn val="ctr"/>
        <c:lblOffset val="100"/>
        <c:noMultiLvlLbl val="0"/>
      </c:catAx>
      <c:valAx>
        <c:axId val="629809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812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2"/>
                </a:solidFill>
              </a:rPr>
              <a:t>Orders by Payment Method</a:t>
            </a:r>
            <a:endParaRPr lang="en-IN" sz="18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Analysis!$B$120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4A-4440-BA91-AE157A3AC7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4A-4440-BA91-AE157A3AC7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4A-4440-BA91-AE157A3AC7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04A-4440-BA91-AE157A3AC7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04A-4440-BA91-AE157A3AC7BA}"/>
              </c:ext>
            </c:extLst>
          </c:dPt>
          <c:cat>
            <c:strRef>
              <c:f>Analysis!$A$121:$A$126</c:f>
              <c:strCache>
                <c:ptCount val="5"/>
                <c:pt idx="0">
                  <c:v>Cash on Delivery</c:v>
                </c:pt>
                <c:pt idx="1">
                  <c:v>Credit Card</c:v>
                </c:pt>
                <c:pt idx="2">
                  <c:v>Debit Card</c:v>
                </c:pt>
                <c:pt idx="3">
                  <c:v>Net Banking</c:v>
                </c:pt>
                <c:pt idx="4">
                  <c:v>UPI</c:v>
                </c:pt>
              </c:strCache>
            </c:strRef>
          </c:cat>
          <c:val>
            <c:numRef>
              <c:f>Analysis!$B$121:$B$126</c:f>
              <c:numCache>
                <c:formatCode>General</c:formatCode>
                <c:ptCount val="5"/>
                <c:pt idx="0">
                  <c:v>14</c:v>
                </c:pt>
                <c:pt idx="1">
                  <c:v>23</c:v>
                </c:pt>
                <c:pt idx="2">
                  <c:v>25</c:v>
                </c:pt>
                <c:pt idx="3">
                  <c:v>12</c:v>
                </c:pt>
                <c:pt idx="4">
                  <c:v>26</c:v>
                </c:pt>
              </c:numCache>
            </c:numRef>
          </c:val>
          <c:extLst>
            <c:ext xmlns:c16="http://schemas.microsoft.com/office/drawing/2014/chart" uri="{C3380CC4-5D6E-409C-BE32-E72D297353CC}">
              <c16:uniqueId val="{0000000A-804A-4440-BA91-AE157A3AC7B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[E_Commerce_Business_Analytics_100_Rows_Final.xlsx]Analysis!PivotTable7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baseline="0">
                <a:solidFill>
                  <a:schemeClr val="tx2"/>
                </a:solidFill>
              </a:rPr>
              <a:t>Sales &amp; Profit by Customer Segment</a:t>
            </a:r>
            <a:endParaRPr lang="en-IN" sz="1800" b="1">
              <a:solidFill>
                <a:schemeClr val="tx2"/>
              </a:solidFill>
            </a:endParaRPr>
          </a:p>
        </c:rich>
      </c:tx>
      <c:layout>
        <c:manualLayout>
          <c:xMode val="edge"/>
          <c:yMode val="edge"/>
          <c:x val="0.15890947940947941"/>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Analysis!$B$105</c:f>
              <c:strCache>
                <c:ptCount val="1"/>
                <c:pt idx="0">
                  <c:v>Sum of Sales</c:v>
                </c:pt>
              </c:strCache>
            </c:strRef>
          </c:tx>
          <c:spPr>
            <a:solidFill>
              <a:schemeClr val="accent1"/>
            </a:solidFill>
            <a:ln>
              <a:noFill/>
            </a:ln>
            <a:effectLst/>
          </c:spPr>
          <c:invertIfNegative val="0"/>
          <c:cat>
            <c:strRef>
              <c:f>Analysis!$A$106:$A$109</c:f>
              <c:strCache>
                <c:ptCount val="3"/>
                <c:pt idx="0">
                  <c:v>Consumer</c:v>
                </c:pt>
                <c:pt idx="1">
                  <c:v>Corporate</c:v>
                </c:pt>
                <c:pt idx="2">
                  <c:v>Small Business</c:v>
                </c:pt>
              </c:strCache>
            </c:strRef>
          </c:cat>
          <c:val>
            <c:numRef>
              <c:f>Analysis!$B$106:$B$109</c:f>
              <c:numCache>
                <c:formatCode>General</c:formatCode>
                <c:ptCount val="3"/>
                <c:pt idx="0">
                  <c:v>327768.32999999996</c:v>
                </c:pt>
                <c:pt idx="1">
                  <c:v>527234.15</c:v>
                </c:pt>
                <c:pt idx="2">
                  <c:v>360938.31000000006</c:v>
                </c:pt>
              </c:numCache>
            </c:numRef>
          </c:val>
          <c:extLst>
            <c:ext xmlns:c16="http://schemas.microsoft.com/office/drawing/2014/chart" uri="{C3380CC4-5D6E-409C-BE32-E72D297353CC}">
              <c16:uniqueId val="{00000000-6CE7-45F9-A830-111C425D39CE}"/>
            </c:ext>
          </c:extLst>
        </c:ser>
        <c:ser>
          <c:idx val="1"/>
          <c:order val="1"/>
          <c:tx>
            <c:strRef>
              <c:f>Analysis!$C$105</c:f>
              <c:strCache>
                <c:ptCount val="1"/>
                <c:pt idx="0">
                  <c:v>Sum of Profit</c:v>
                </c:pt>
              </c:strCache>
            </c:strRef>
          </c:tx>
          <c:spPr>
            <a:solidFill>
              <a:schemeClr val="accent2"/>
            </a:solidFill>
            <a:ln>
              <a:noFill/>
            </a:ln>
            <a:effectLst/>
          </c:spPr>
          <c:invertIfNegative val="0"/>
          <c:cat>
            <c:strRef>
              <c:f>Analysis!$A$106:$A$109</c:f>
              <c:strCache>
                <c:ptCount val="3"/>
                <c:pt idx="0">
                  <c:v>Consumer</c:v>
                </c:pt>
                <c:pt idx="1">
                  <c:v>Corporate</c:v>
                </c:pt>
                <c:pt idx="2">
                  <c:v>Small Business</c:v>
                </c:pt>
              </c:strCache>
            </c:strRef>
          </c:cat>
          <c:val>
            <c:numRef>
              <c:f>Analysis!$C$106:$C$109</c:f>
              <c:numCache>
                <c:formatCode>General</c:formatCode>
                <c:ptCount val="3"/>
                <c:pt idx="0">
                  <c:v>57371.05999999999</c:v>
                </c:pt>
                <c:pt idx="1">
                  <c:v>132322.96000000002</c:v>
                </c:pt>
                <c:pt idx="2">
                  <c:v>99330.230000000025</c:v>
                </c:pt>
              </c:numCache>
            </c:numRef>
          </c:val>
          <c:extLst>
            <c:ext xmlns:c16="http://schemas.microsoft.com/office/drawing/2014/chart" uri="{C3380CC4-5D6E-409C-BE32-E72D297353CC}">
              <c16:uniqueId val="{00000001-6CE7-45F9-A830-111C425D39CE}"/>
            </c:ext>
          </c:extLst>
        </c:ser>
        <c:dLbls>
          <c:showLegendKey val="0"/>
          <c:showVal val="0"/>
          <c:showCatName val="0"/>
          <c:showSerName val="0"/>
          <c:showPercent val="0"/>
          <c:showBubbleSize val="0"/>
        </c:dLbls>
        <c:gapWidth val="219"/>
        <c:overlap val="-27"/>
        <c:axId val="645160936"/>
        <c:axId val="645159856"/>
      </c:barChart>
      <c:catAx>
        <c:axId val="645160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59856"/>
        <c:crosses val="autoZero"/>
        <c:auto val="1"/>
        <c:lblAlgn val="ctr"/>
        <c:lblOffset val="100"/>
        <c:noMultiLvlLbl val="0"/>
      </c:catAx>
      <c:valAx>
        <c:axId val="64515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160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33337</xdr:rowOff>
    </xdr:from>
    <xdr:to>
      <xdr:col>6</xdr:col>
      <xdr:colOff>828675</xdr:colOff>
      <xdr:row>30</xdr:row>
      <xdr:rowOff>109537</xdr:rowOff>
    </xdr:to>
    <xdr:graphicFrame macro="">
      <xdr:nvGraphicFramePr>
        <xdr:cNvPr id="3" name="Chart 2">
          <a:extLst>
            <a:ext uri="{FF2B5EF4-FFF2-40B4-BE49-F238E27FC236}">
              <a16:creationId xmlns:a16="http://schemas.microsoft.com/office/drawing/2014/main" id="{F408E596-2577-8B88-EEA0-10B98B295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30</xdr:row>
      <xdr:rowOff>128587</xdr:rowOff>
    </xdr:from>
    <xdr:to>
      <xdr:col>6</xdr:col>
      <xdr:colOff>857250</xdr:colOff>
      <xdr:row>45</xdr:row>
      <xdr:rowOff>14287</xdr:rowOff>
    </xdr:to>
    <xdr:graphicFrame macro="">
      <xdr:nvGraphicFramePr>
        <xdr:cNvPr id="6" name="Chart 5">
          <a:extLst>
            <a:ext uri="{FF2B5EF4-FFF2-40B4-BE49-F238E27FC236}">
              <a16:creationId xmlns:a16="http://schemas.microsoft.com/office/drawing/2014/main" id="{A36C8F1F-2B21-929D-312D-662D49E80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57150</xdr:colOff>
      <xdr:row>46</xdr:row>
      <xdr:rowOff>100012</xdr:rowOff>
    </xdr:from>
    <xdr:to>
      <xdr:col>6</xdr:col>
      <xdr:colOff>885825</xdr:colOff>
      <xdr:row>60</xdr:row>
      <xdr:rowOff>176212</xdr:rowOff>
    </xdr:to>
    <xdr:graphicFrame macro="">
      <xdr:nvGraphicFramePr>
        <xdr:cNvPr id="8" name="Chart 7">
          <a:extLst>
            <a:ext uri="{FF2B5EF4-FFF2-40B4-BE49-F238E27FC236}">
              <a16:creationId xmlns:a16="http://schemas.microsoft.com/office/drawing/2014/main" id="{C193666A-5CA4-C298-8D82-A420D14E6F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47625</xdr:colOff>
      <xdr:row>65</xdr:row>
      <xdr:rowOff>176212</xdr:rowOff>
    </xdr:from>
    <xdr:to>
      <xdr:col>6</xdr:col>
      <xdr:colOff>876300</xdr:colOff>
      <xdr:row>80</xdr:row>
      <xdr:rowOff>61912</xdr:rowOff>
    </xdr:to>
    <xdr:graphicFrame macro="">
      <xdr:nvGraphicFramePr>
        <xdr:cNvPr id="9" name="Chart 8">
          <a:extLst>
            <a:ext uri="{FF2B5EF4-FFF2-40B4-BE49-F238E27FC236}">
              <a16:creationId xmlns:a16="http://schemas.microsoft.com/office/drawing/2014/main" id="{45DF111B-4E49-3C54-D05F-83F6310EF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138112</xdr:colOff>
      <xdr:row>82</xdr:row>
      <xdr:rowOff>157162</xdr:rowOff>
    </xdr:from>
    <xdr:to>
      <xdr:col>6</xdr:col>
      <xdr:colOff>966787</xdr:colOff>
      <xdr:row>97</xdr:row>
      <xdr:rowOff>42862</xdr:rowOff>
    </xdr:to>
    <xdr:graphicFrame macro="">
      <xdr:nvGraphicFramePr>
        <xdr:cNvPr id="10" name="Chart 9">
          <a:extLst>
            <a:ext uri="{FF2B5EF4-FFF2-40B4-BE49-F238E27FC236}">
              <a16:creationId xmlns:a16="http://schemas.microsoft.com/office/drawing/2014/main" id="{79077FE6-0BDF-6253-42E7-70A1C80A7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357187</xdr:colOff>
      <xdr:row>99</xdr:row>
      <xdr:rowOff>128587</xdr:rowOff>
    </xdr:from>
    <xdr:to>
      <xdr:col>7</xdr:col>
      <xdr:colOff>328612</xdr:colOff>
      <xdr:row>114</xdr:row>
      <xdr:rowOff>14287</xdr:rowOff>
    </xdr:to>
    <xdr:graphicFrame macro="">
      <xdr:nvGraphicFramePr>
        <xdr:cNvPr id="11" name="Chart 10">
          <a:extLst>
            <a:ext uri="{FF2B5EF4-FFF2-40B4-BE49-F238E27FC236}">
              <a16:creationId xmlns:a16="http://schemas.microsoft.com/office/drawing/2014/main" id="{388203AB-2264-3DE0-6616-9C633EDA2E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233362</xdr:colOff>
      <xdr:row>114</xdr:row>
      <xdr:rowOff>52387</xdr:rowOff>
    </xdr:from>
    <xdr:to>
      <xdr:col>6</xdr:col>
      <xdr:colOff>947737</xdr:colOff>
      <xdr:row>128</xdr:row>
      <xdr:rowOff>128587</xdr:rowOff>
    </xdr:to>
    <xdr:graphicFrame macro="">
      <xdr:nvGraphicFramePr>
        <xdr:cNvPr id="12" name="Chart 11">
          <a:extLst>
            <a:ext uri="{FF2B5EF4-FFF2-40B4-BE49-F238E27FC236}">
              <a16:creationId xmlns:a16="http://schemas.microsoft.com/office/drawing/2014/main" id="{7FB20A86-3D92-35C0-7160-87A03B800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195262</xdr:colOff>
      <xdr:row>130</xdr:row>
      <xdr:rowOff>33337</xdr:rowOff>
    </xdr:from>
    <xdr:to>
      <xdr:col>6</xdr:col>
      <xdr:colOff>909637</xdr:colOff>
      <xdr:row>144</xdr:row>
      <xdr:rowOff>109537</xdr:rowOff>
    </xdr:to>
    <xdr:graphicFrame macro="">
      <xdr:nvGraphicFramePr>
        <xdr:cNvPr id="13" name="Chart 12">
          <a:extLst>
            <a:ext uri="{FF2B5EF4-FFF2-40B4-BE49-F238E27FC236}">
              <a16:creationId xmlns:a16="http://schemas.microsoft.com/office/drawing/2014/main" id="{FB1A7682-0306-B512-063C-39DCE0104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166687</xdr:colOff>
      <xdr:row>145</xdr:row>
      <xdr:rowOff>90487</xdr:rowOff>
    </xdr:from>
    <xdr:to>
      <xdr:col>6</xdr:col>
      <xdr:colOff>881062</xdr:colOff>
      <xdr:row>159</xdr:row>
      <xdr:rowOff>166687</xdr:rowOff>
    </xdr:to>
    <xdr:graphicFrame macro="">
      <xdr:nvGraphicFramePr>
        <xdr:cNvPr id="14" name="Chart 13">
          <a:extLst>
            <a:ext uri="{FF2B5EF4-FFF2-40B4-BE49-F238E27FC236}">
              <a16:creationId xmlns:a16="http://schemas.microsoft.com/office/drawing/2014/main" id="{93E2C5DA-31FD-8296-475B-D73AA5C2A5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219075</xdr:colOff>
      <xdr:row>81</xdr:row>
      <xdr:rowOff>133350</xdr:rowOff>
    </xdr:from>
    <xdr:to>
      <xdr:col>14</xdr:col>
      <xdr:colOff>219075</xdr:colOff>
      <xdr:row>94</xdr:row>
      <xdr:rowOff>180975</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812E7316-E7B7-5FAA-A42C-7D7A2282B15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25075" y="17087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371475</xdr:colOff>
      <xdr:row>82</xdr:row>
      <xdr:rowOff>28575</xdr:rowOff>
    </xdr:from>
    <xdr:to>
      <xdr:col>17</xdr:col>
      <xdr:colOff>371475</xdr:colOff>
      <xdr:row>95</xdr:row>
      <xdr:rowOff>76200</xdr:rowOff>
    </xdr:to>
    <mc:AlternateContent xmlns:mc="http://schemas.openxmlformats.org/markup-compatibility/2006">
      <mc:Choice xmlns:a14="http://schemas.microsoft.com/office/drawing/2010/main" Requires="a14">
        <xdr:graphicFrame macro="">
          <xdr:nvGraphicFramePr>
            <xdr:cNvPr id="17" name="Payment_Mode">
              <a:extLst>
                <a:ext uri="{FF2B5EF4-FFF2-40B4-BE49-F238E27FC236}">
                  <a16:creationId xmlns:a16="http://schemas.microsoft.com/office/drawing/2014/main" id="{C042B78F-BCEB-40D8-C0C4-825EE599EC5C}"/>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2106275" y="17173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88</xdr:row>
      <xdr:rowOff>133350</xdr:rowOff>
    </xdr:from>
    <xdr:to>
      <xdr:col>11</xdr:col>
      <xdr:colOff>495300</xdr:colOff>
      <xdr:row>101</xdr:row>
      <xdr:rowOff>180975</xdr:rowOff>
    </xdr:to>
    <mc:AlternateContent xmlns:mc="http://schemas.openxmlformats.org/markup-compatibility/2006">
      <mc:Choice xmlns:a14="http://schemas.microsoft.com/office/drawing/2010/main" Requires="a14">
        <xdr:graphicFrame macro="">
          <xdr:nvGraphicFramePr>
            <xdr:cNvPr id="18" name="Order_Status">
              <a:extLst>
                <a:ext uri="{FF2B5EF4-FFF2-40B4-BE49-F238E27FC236}">
                  <a16:creationId xmlns:a16="http://schemas.microsoft.com/office/drawing/2014/main" id="{A1DD0975-BF42-CAAA-99A5-72D66972F1CF}"/>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8572500" y="18421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581025</xdr:colOff>
      <xdr:row>88</xdr:row>
      <xdr:rowOff>161925</xdr:rowOff>
    </xdr:from>
    <xdr:to>
      <xdr:col>14</xdr:col>
      <xdr:colOff>581025</xdr:colOff>
      <xdr:row>102</xdr:row>
      <xdr:rowOff>19050</xdr:rowOff>
    </xdr:to>
    <mc:AlternateContent xmlns:mc="http://schemas.openxmlformats.org/markup-compatibility/2006">
      <mc:Choice xmlns:a14="http://schemas.microsoft.com/office/drawing/2010/main" Requires="a14">
        <xdr:graphicFrame macro="">
          <xdr:nvGraphicFramePr>
            <xdr:cNvPr id="19" name="Customer_Segment">
              <a:extLst>
                <a:ext uri="{FF2B5EF4-FFF2-40B4-BE49-F238E27FC236}">
                  <a16:creationId xmlns:a16="http://schemas.microsoft.com/office/drawing/2014/main" id="{636F8FDC-6971-C626-47FC-93E015D8A2B6}"/>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0487025" y="18449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66675</xdr:colOff>
      <xdr:row>88</xdr:row>
      <xdr:rowOff>133350</xdr:rowOff>
    </xdr:from>
    <xdr:to>
      <xdr:col>18</xdr:col>
      <xdr:colOff>66675</xdr:colOff>
      <xdr:row>101</xdr:row>
      <xdr:rowOff>180975</xdr:rowOff>
    </xdr:to>
    <mc:AlternateContent xmlns:mc="http://schemas.openxmlformats.org/markup-compatibility/2006">
      <mc:Choice xmlns:a14="http://schemas.microsoft.com/office/drawing/2010/main" Requires="a14">
        <xdr:graphicFrame macro="">
          <xdr:nvGraphicFramePr>
            <xdr:cNvPr id="20" name="Shipping_Mode">
              <a:extLst>
                <a:ext uri="{FF2B5EF4-FFF2-40B4-BE49-F238E27FC236}">
                  <a16:creationId xmlns:a16="http://schemas.microsoft.com/office/drawing/2014/main" id="{DF3F77B1-7046-A921-0278-B8AF30AEF5EF}"/>
                </a:ext>
              </a:extLst>
            </xdr:cNvPr>
            <xdr:cNvGraphicFramePr/>
          </xdr:nvGraphicFramePr>
          <xdr:xfrm>
            <a:off x="0" y="0"/>
            <a:ext cx="0" cy="0"/>
          </xdr:xfrm>
          <a:graphic>
            <a:graphicData uri="http://schemas.microsoft.com/office/drawing/2010/slicer">
              <sle:slicer xmlns:sle="http://schemas.microsoft.com/office/drawing/2010/slicer" name="Shipping_Mode"/>
            </a:graphicData>
          </a:graphic>
        </xdr:graphicFrame>
      </mc:Choice>
      <mc:Fallback>
        <xdr:sp macro="" textlink="">
          <xdr:nvSpPr>
            <xdr:cNvPr id="0" name=""/>
            <xdr:cNvSpPr>
              <a:spLocks noTextEdit="1"/>
            </xdr:cNvSpPr>
          </xdr:nvSpPr>
          <xdr:spPr>
            <a:xfrm>
              <a:off x="12411075" y="18421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9526</xdr:colOff>
      <xdr:row>0</xdr:row>
      <xdr:rowOff>66676</xdr:rowOff>
    </xdr:from>
    <xdr:to>
      <xdr:col>16</xdr:col>
      <xdr:colOff>485775</xdr:colOff>
      <xdr:row>2</xdr:row>
      <xdr:rowOff>85726</xdr:rowOff>
    </xdr:to>
    <xdr:sp macro="" textlink="">
      <xdr:nvSpPr>
        <xdr:cNvPr id="3" name="TextBox 2">
          <a:extLst>
            <a:ext uri="{FF2B5EF4-FFF2-40B4-BE49-F238E27FC236}">
              <a16:creationId xmlns:a16="http://schemas.microsoft.com/office/drawing/2014/main" id="{ADF210E0-9E51-0E33-63F7-307E0CB7AD8D}"/>
            </a:ext>
          </a:extLst>
        </xdr:cNvPr>
        <xdr:cNvSpPr txBox="1"/>
      </xdr:nvSpPr>
      <xdr:spPr>
        <a:xfrm>
          <a:off x="5495926" y="66676"/>
          <a:ext cx="4743449" cy="40005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2400" b="1" u="none">
              <a:solidFill>
                <a:schemeClr val="tx2"/>
              </a:solidFill>
              <a:latin typeface="+mn-lt"/>
            </a:rPr>
            <a:t>E-COMMERCE BUSINESS ANALYTICS</a:t>
          </a:r>
        </a:p>
      </xdr:txBody>
    </xdr:sp>
    <xdr:clientData/>
  </xdr:twoCellAnchor>
  <xdr:twoCellAnchor>
    <xdr:from>
      <xdr:col>8</xdr:col>
      <xdr:colOff>190499</xdr:colOff>
      <xdr:row>2</xdr:row>
      <xdr:rowOff>180975</xdr:rowOff>
    </xdr:from>
    <xdr:to>
      <xdr:col>17</xdr:col>
      <xdr:colOff>390524</xdr:colOff>
      <xdr:row>4</xdr:row>
      <xdr:rowOff>180975</xdr:rowOff>
    </xdr:to>
    <xdr:sp macro="" textlink="">
      <xdr:nvSpPr>
        <xdr:cNvPr id="4" name="TextBox 3">
          <a:extLst>
            <a:ext uri="{FF2B5EF4-FFF2-40B4-BE49-F238E27FC236}">
              <a16:creationId xmlns:a16="http://schemas.microsoft.com/office/drawing/2014/main" id="{BDAADD79-487A-BF7A-99AD-46B7A5859537}"/>
            </a:ext>
          </a:extLst>
        </xdr:cNvPr>
        <xdr:cNvSpPr txBox="1"/>
      </xdr:nvSpPr>
      <xdr:spPr>
        <a:xfrm>
          <a:off x="5067299" y="561975"/>
          <a:ext cx="5686425" cy="381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2"/>
              </a:solidFill>
            </a:rPr>
            <a:t>Sales | Profitability | Customers | Products | Operations</a:t>
          </a:r>
        </a:p>
      </xdr:txBody>
    </xdr:sp>
    <xdr:clientData/>
  </xdr:twoCellAnchor>
  <xdr:twoCellAnchor>
    <xdr:from>
      <xdr:col>4</xdr:col>
      <xdr:colOff>447675</xdr:colOff>
      <xdr:row>5</xdr:row>
      <xdr:rowOff>161925</xdr:rowOff>
    </xdr:from>
    <xdr:to>
      <xdr:col>7</xdr:col>
      <xdr:colOff>561975</xdr:colOff>
      <xdr:row>9</xdr:row>
      <xdr:rowOff>142875</xdr:rowOff>
    </xdr:to>
    <xdr:sp macro="" textlink="">
      <xdr:nvSpPr>
        <xdr:cNvPr id="5" name="Rectangle: Rounded Corners 4">
          <a:extLst>
            <a:ext uri="{FF2B5EF4-FFF2-40B4-BE49-F238E27FC236}">
              <a16:creationId xmlns:a16="http://schemas.microsoft.com/office/drawing/2014/main" id="{F16DC903-AD42-8735-8463-2FAD5159C5EE}"/>
            </a:ext>
          </a:extLst>
        </xdr:cNvPr>
        <xdr:cNvSpPr/>
      </xdr:nvSpPr>
      <xdr:spPr>
        <a:xfrm>
          <a:off x="2896961" y="1114425"/>
          <a:ext cx="1951264" cy="742950"/>
        </a:xfrm>
        <a:prstGeom prst="roundRect">
          <a:avLst/>
        </a:prstGeom>
        <a:solidFill>
          <a:schemeClr val="bg2"/>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b="1">
              <a:solidFill>
                <a:schemeClr val="tx2"/>
              </a:solidFill>
            </a:rPr>
            <a:t>TOTAL SALES</a:t>
          </a:r>
        </a:p>
        <a:p>
          <a:pPr algn="ctr"/>
          <a:r>
            <a:rPr lang="en-IN" sz="1400" b="1"/>
            <a:t>₹1,215,941</a:t>
          </a:r>
          <a:r>
            <a:rPr lang="en-IN" sz="1400" b="1">
              <a:effectLst/>
            </a:rPr>
            <a:t> </a:t>
          </a:r>
          <a:endParaRPr lang="en-IN" sz="1400" b="1"/>
        </a:p>
        <a:p>
          <a:pPr algn="ctr"/>
          <a:endParaRPr lang="en-IN" sz="1100"/>
        </a:p>
        <a:p>
          <a:pPr algn="l"/>
          <a:endParaRPr lang="en-IN" sz="1100"/>
        </a:p>
      </xdr:txBody>
    </xdr:sp>
    <xdr:clientData/>
  </xdr:twoCellAnchor>
  <xdr:twoCellAnchor>
    <xdr:from>
      <xdr:col>8</xdr:col>
      <xdr:colOff>104774</xdr:colOff>
      <xdr:row>5</xdr:row>
      <xdr:rowOff>161925</xdr:rowOff>
    </xdr:from>
    <xdr:to>
      <xdr:col>11</xdr:col>
      <xdr:colOff>219009</xdr:colOff>
      <xdr:row>9</xdr:row>
      <xdr:rowOff>141780</xdr:rowOff>
    </xdr:to>
    <xdr:sp macro="" textlink="">
      <xdr:nvSpPr>
        <xdr:cNvPr id="7" name="Rectangle: Rounded Corners 6">
          <a:extLst>
            <a:ext uri="{FF2B5EF4-FFF2-40B4-BE49-F238E27FC236}">
              <a16:creationId xmlns:a16="http://schemas.microsoft.com/office/drawing/2014/main" id="{D155BBE0-F377-427B-854E-AEC120777CE3}"/>
            </a:ext>
          </a:extLst>
        </xdr:cNvPr>
        <xdr:cNvSpPr/>
      </xdr:nvSpPr>
      <xdr:spPr>
        <a:xfrm>
          <a:off x="5003345" y="1114425"/>
          <a:ext cx="1951200" cy="741855"/>
        </a:xfrm>
        <a:prstGeom prst="roundRect">
          <a:avLst/>
        </a:prstGeom>
        <a:solidFill>
          <a:schemeClr val="bg2"/>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tx2"/>
              </a:solidFill>
            </a:rPr>
            <a:t>TOTAL PROFIT</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₹289,024</a:t>
          </a:r>
          <a:endParaRPr lang="en-IN" sz="1800" b="1"/>
        </a:p>
      </xdr:txBody>
    </xdr:sp>
    <xdr:clientData/>
  </xdr:twoCellAnchor>
  <xdr:twoCellAnchor>
    <xdr:from>
      <xdr:col>11</xdr:col>
      <xdr:colOff>507546</xdr:colOff>
      <xdr:row>5</xdr:row>
      <xdr:rowOff>175532</xdr:rowOff>
    </xdr:from>
    <xdr:to>
      <xdr:col>15</xdr:col>
      <xdr:colOff>9461</xdr:colOff>
      <xdr:row>9</xdr:row>
      <xdr:rowOff>155132</xdr:rowOff>
    </xdr:to>
    <xdr:sp macro="" textlink="">
      <xdr:nvSpPr>
        <xdr:cNvPr id="8" name="Rectangle: Rounded Corners 7">
          <a:extLst>
            <a:ext uri="{FF2B5EF4-FFF2-40B4-BE49-F238E27FC236}">
              <a16:creationId xmlns:a16="http://schemas.microsoft.com/office/drawing/2014/main" id="{5E13DD57-C9F2-4956-B7F4-511A0B14C0E4}"/>
            </a:ext>
          </a:extLst>
        </xdr:cNvPr>
        <xdr:cNvSpPr/>
      </xdr:nvSpPr>
      <xdr:spPr>
        <a:xfrm>
          <a:off x="7243082" y="1128032"/>
          <a:ext cx="1951200" cy="741600"/>
        </a:xfrm>
        <a:prstGeom prst="roundRect">
          <a:avLst/>
        </a:prstGeom>
        <a:solidFill>
          <a:schemeClr val="bg2"/>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u="none">
              <a:solidFill>
                <a:schemeClr val="tx2"/>
              </a:solidFill>
            </a:rPr>
            <a:t>TOTAL ORDERS</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100</a:t>
          </a:r>
          <a:r>
            <a:rPr lang="en-IN" sz="1400">
              <a:solidFill>
                <a:schemeClr val="dk1"/>
              </a:solidFill>
              <a:effectLst/>
              <a:latin typeface="+mn-lt"/>
              <a:ea typeface="+mn-ea"/>
              <a:cs typeface="+mn-cs"/>
            </a:rPr>
            <a:t> </a:t>
          </a:r>
          <a:endParaRPr lang="en-IN" sz="1400">
            <a:effectLst/>
          </a:endParaRPr>
        </a:p>
        <a:p>
          <a:pPr algn="ctr"/>
          <a:endParaRPr lang="en-IN" sz="1100" b="0" i="0" u="none" strike="noStrike">
            <a:solidFill>
              <a:schemeClr val="dk1"/>
            </a:solidFill>
            <a:effectLst/>
            <a:latin typeface="+mn-lt"/>
            <a:ea typeface="+mn-ea"/>
            <a:cs typeface="+mn-cs"/>
          </a:endParaRPr>
        </a:p>
      </xdr:txBody>
    </xdr:sp>
    <xdr:clientData/>
  </xdr:twoCellAnchor>
  <xdr:twoCellAnchor>
    <xdr:from>
      <xdr:col>15</xdr:col>
      <xdr:colOff>209551</xdr:colOff>
      <xdr:row>5</xdr:row>
      <xdr:rowOff>175532</xdr:rowOff>
    </xdr:from>
    <xdr:to>
      <xdr:col>19</xdr:col>
      <xdr:colOff>76201</xdr:colOff>
      <xdr:row>9</xdr:row>
      <xdr:rowOff>155132</xdr:rowOff>
    </xdr:to>
    <xdr:sp macro="" textlink="">
      <xdr:nvSpPr>
        <xdr:cNvPr id="9" name="Rectangle: Rounded Corners 8">
          <a:extLst>
            <a:ext uri="{FF2B5EF4-FFF2-40B4-BE49-F238E27FC236}">
              <a16:creationId xmlns:a16="http://schemas.microsoft.com/office/drawing/2014/main" id="{ADB0C441-CE1E-4054-9122-2C206D1AC59C}"/>
            </a:ext>
          </a:extLst>
        </xdr:cNvPr>
        <xdr:cNvSpPr/>
      </xdr:nvSpPr>
      <xdr:spPr>
        <a:xfrm>
          <a:off x="9394372" y="1128032"/>
          <a:ext cx="2315936" cy="741600"/>
        </a:xfrm>
        <a:prstGeom prst="roundRect">
          <a:avLst/>
        </a:prstGeom>
        <a:solidFill>
          <a:schemeClr val="bg2"/>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tx2"/>
              </a:solidFill>
            </a:rPr>
            <a:t>AVG ORDER VALUE</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₹12,159</a:t>
          </a:r>
          <a:endParaRPr lang="en-IN" sz="1100" b="1" i="0" u="none" strike="noStrike">
            <a:solidFill>
              <a:schemeClr val="dk1"/>
            </a:solidFill>
            <a:effectLst/>
            <a:latin typeface="+mn-lt"/>
            <a:ea typeface="+mn-ea"/>
            <a:cs typeface="+mn-cs"/>
          </a:endParaRPr>
        </a:p>
      </xdr:txBody>
    </xdr:sp>
    <xdr:clientData/>
  </xdr:twoCellAnchor>
  <xdr:twoCellAnchor>
    <xdr:from>
      <xdr:col>19</xdr:col>
      <xdr:colOff>269421</xdr:colOff>
      <xdr:row>5</xdr:row>
      <xdr:rowOff>189139</xdr:rowOff>
    </xdr:from>
    <xdr:to>
      <xdr:col>22</xdr:col>
      <xdr:colOff>383657</xdr:colOff>
      <xdr:row>9</xdr:row>
      <xdr:rowOff>170089</xdr:rowOff>
    </xdr:to>
    <xdr:sp macro="" textlink="">
      <xdr:nvSpPr>
        <xdr:cNvPr id="10" name="Rectangle: Rounded Corners 9">
          <a:extLst>
            <a:ext uri="{FF2B5EF4-FFF2-40B4-BE49-F238E27FC236}">
              <a16:creationId xmlns:a16="http://schemas.microsoft.com/office/drawing/2014/main" id="{D9A771D2-95A5-485E-BC6C-1B005747C742}"/>
            </a:ext>
          </a:extLst>
        </xdr:cNvPr>
        <xdr:cNvSpPr/>
      </xdr:nvSpPr>
      <xdr:spPr>
        <a:xfrm>
          <a:off x="11903528" y="1141639"/>
          <a:ext cx="1951200" cy="742950"/>
        </a:xfrm>
        <a:prstGeom prst="roundRect">
          <a:avLst/>
        </a:prstGeom>
        <a:solidFill>
          <a:schemeClr val="bg2"/>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800" b="1">
              <a:solidFill>
                <a:schemeClr val="tx2"/>
              </a:solidFill>
            </a:rPr>
            <a:t>PROFIT MARGIN</a:t>
          </a:r>
        </a:p>
        <a:p>
          <a:pPr algn="ctr"/>
          <a:r>
            <a:rPr lang="en-IN" sz="1400" b="1"/>
            <a:t>16.90%</a:t>
          </a:r>
          <a:r>
            <a:rPr lang="en-IN" sz="1200" b="1">
              <a:effectLst/>
            </a:rPr>
            <a:t> </a:t>
          </a:r>
        </a:p>
      </xdr:txBody>
    </xdr:sp>
    <xdr:clientData/>
  </xdr:twoCellAnchor>
  <xdr:twoCellAnchor>
    <xdr:from>
      <xdr:col>4</xdr:col>
      <xdr:colOff>438149</xdr:colOff>
      <xdr:row>10</xdr:row>
      <xdr:rowOff>19049</xdr:rowOff>
    </xdr:from>
    <xdr:to>
      <xdr:col>13</xdr:col>
      <xdr:colOff>75256</xdr:colOff>
      <xdr:row>24</xdr:row>
      <xdr:rowOff>95249</xdr:rowOff>
    </xdr:to>
    <xdr:graphicFrame macro="">
      <xdr:nvGraphicFramePr>
        <xdr:cNvPr id="39" name="Chart 38">
          <a:extLst>
            <a:ext uri="{FF2B5EF4-FFF2-40B4-BE49-F238E27FC236}">
              <a16:creationId xmlns:a16="http://schemas.microsoft.com/office/drawing/2014/main" id="{3250D7B4-D7DF-446D-B7EE-64B53F7D92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533399</xdr:colOff>
      <xdr:row>10</xdr:row>
      <xdr:rowOff>19049</xdr:rowOff>
    </xdr:from>
    <xdr:to>
      <xdr:col>22</xdr:col>
      <xdr:colOff>170507</xdr:colOff>
      <xdr:row>24</xdr:row>
      <xdr:rowOff>95249</xdr:rowOff>
    </xdr:to>
    <xdr:graphicFrame macro="">
      <xdr:nvGraphicFramePr>
        <xdr:cNvPr id="40" name="Chart 39">
          <a:extLst>
            <a:ext uri="{FF2B5EF4-FFF2-40B4-BE49-F238E27FC236}">
              <a16:creationId xmlns:a16="http://schemas.microsoft.com/office/drawing/2014/main" id="{B853F971-2C3A-4C03-B2BA-E8CAA6555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438149</xdr:colOff>
      <xdr:row>24</xdr:row>
      <xdr:rowOff>123484</xdr:rowOff>
    </xdr:from>
    <xdr:to>
      <xdr:col>13</xdr:col>
      <xdr:colOff>75256</xdr:colOff>
      <xdr:row>39</xdr:row>
      <xdr:rowOff>9184</xdr:rowOff>
    </xdr:to>
    <xdr:graphicFrame macro="">
      <xdr:nvGraphicFramePr>
        <xdr:cNvPr id="41" name="Chart 40">
          <a:extLst>
            <a:ext uri="{FF2B5EF4-FFF2-40B4-BE49-F238E27FC236}">
              <a16:creationId xmlns:a16="http://schemas.microsoft.com/office/drawing/2014/main" id="{4DD1D5AC-4C3A-4C40-8535-D9D1F7BF0A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533399</xdr:colOff>
      <xdr:row>24</xdr:row>
      <xdr:rowOff>123484</xdr:rowOff>
    </xdr:from>
    <xdr:to>
      <xdr:col>22</xdr:col>
      <xdr:colOff>170507</xdr:colOff>
      <xdr:row>39</xdr:row>
      <xdr:rowOff>9184</xdr:rowOff>
    </xdr:to>
    <xdr:graphicFrame macro="">
      <xdr:nvGraphicFramePr>
        <xdr:cNvPr id="42" name="Chart 41">
          <a:extLst>
            <a:ext uri="{FF2B5EF4-FFF2-40B4-BE49-F238E27FC236}">
              <a16:creationId xmlns:a16="http://schemas.microsoft.com/office/drawing/2014/main" id="{E38FC8DE-D0F7-472C-B8DB-6C1C8567B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438149</xdr:colOff>
      <xdr:row>39</xdr:row>
      <xdr:rowOff>30615</xdr:rowOff>
    </xdr:from>
    <xdr:to>
      <xdr:col>13</xdr:col>
      <xdr:colOff>75256</xdr:colOff>
      <xdr:row>53</xdr:row>
      <xdr:rowOff>106815</xdr:rowOff>
    </xdr:to>
    <xdr:graphicFrame macro="">
      <xdr:nvGraphicFramePr>
        <xdr:cNvPr id="43" name="Chart 42">
          <a:extLst>
            <a:ext uri="{FF2B5EF4-FFF2-40B4-BE49-F238E27FC236}">
              <a16:creationId xmlns:a16="http://schemas.microsoft.com/office/drawing/2014/main" id="{62E570E3-1736-4E04-A835-5C5190B17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533399</xdr:colOff>
      <xdr:row>39</xdr:row>
      <xdr:rowOff>30615</xdr:rowOff>
    </xdr:from>
    <xdr:to>
      <xdr:col>22</xdr:col>
      <xdr:colOff>170507</xdr:colOff>
      <xdr:row>53</xdr:row>
      <xdr:rowOff>106815</xdr:rowOff>
    </xdr:to>
    <xdr:graphicFrame macro="">
      <xdr:nvGraphicFramePr>
        <xdr:cNvPr id="44" name="Chart 43">
          <a:extLst>
            <a:ext uri="{FF2B5EF4-FFF2-40B4-BE49-F238E27FC236}">
              <a16:creationId xmlns:a16="http://schemas.microsoft.com/office/drawing/2014/main" id="{821AF95A-0442-4529-BC98-2E3202B6D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138494</xdr:colOff>
      <xdr:row>10</xdr:row>
      <xdr:rowOff>40822</xdr:rowOff>
    </xdr:from>
    <xdr:to>
      <xdr:col>4</xdr:col>
      <xdr:colOff>397028</xdr:colOff>
      <xdr:row>24</xdr:row>
      <xdr:rowOff>68036</xdr:rowOff>
    </xdr:to>
    <mc:AlternateContent xmlns:mc="http://schemas.openxmlformats.org/markup-compatibility/2006">
      <mc:Choice xmlns:a14="http://schemas.microsoft.com/office/drawing/2010/main" Requires="a14">
        <xdr:graphicFrame macro="">
          <xdr:nvGraphicFramePr>
            <xdr:cNvPr id="45" name="Region">
              <a:extLst>
                <a:ext uri="{FF2B5EF4-FFF2-40B4-BE49-F238E27FC236}">
                  <a16:creationId xmlns:a16="http://schemas.microsoft.com/office/drawing/2014/main" id="{692DD109-3C92-410F-AF10-B092C74C70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0815" y="1945822"/>
              <a:ext cx="2095499" cy="26942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138793</xdr:colOff>
      <xdr:row>24</xdr:row>
      <xdr:rowOff>122464</xdr:rowOff>
    </xdr:from>
    <xdr:to>
      <xdr:col>4</xdr:col>
      <xdr:colOff>397028</xdr:colOff>
      <xdr:row>38</xdr:row>
      <xdr:rowOff>184349</xdr:rowOff>
    </xdr:to>
    <mc:AlternateContent xmlns:mc="http://schemas.openxmlformats.org/markup-compatibility/2006">
      <mc:Choice xmlns:a14="http://schemas.microsoft.com/office/drawing/2010/main" Requires="a14">
        <xdr:graphicFrame macro="">
          <xdr:nvGraphicFramePr>
            <xdr:cNvPr id="46" name="Category 1">
              <a:extLst>
                <a:ext uri="{FF2B5EF4-FFF2-40B4-BE49-F238E27FC236}">
                  <a16:creationId xmlns:a16="http://schemas.microsoft.com/office/drawing/2014/main" id="{01105F98-F944-400B-8901-268341C8DF3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51114" y="4694464"/>
              <a:ext cx="2095200" cy="2728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138793</xdr:colOff>
      <xdr:row>39</xdr:row>
      <xdr:rowOff>16327</xdr:rowOff>
    </xdr:from>
    <xdr:to>
      <xdr:col>4</xdr:col>
      <xdr:colOff>397028</xdr:colOff>
      <xdr:row>53</xdr:row>
      <xdr:rowOff>42127</xdr:rowOff>
    </xdr:to>
    <mc:AlternateContent xmlns:mc="http://schemas.openxmlformats.org/markup-compatibility/2006">
      <mc:Choice xmlns:a14="http://schemas.microsoft.com/office/drawing/2010/main" Requires="a14">
        <xdr:graphicFrame macro="">
          <xdr:nvGraphicFramePr>
            <xdr:cNvPr id="47" name="Payment_Mode 1">
              <a:extLst>
                <a:ext uri="{FF2B5EF4-FFF2-40B4-BE49-F238E27FC236}">
                  <a16:creationId xmlns:a16="http://schemas.microsoft.com/office/drawing/2014/main" id="{51593016-6056-4FB3-8815-850382E72CBC}"/>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751114" y="7445827"/>
              <a:ext cx="2095200" cy="269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236764</xdr:colOff>
      <xdr:row>10</xdr:row>
      <xdr:rowOff>46264</xdr:rowOff>
    </xdr:from>
    <xdr:to>
      <xdr:col>25</xdr:col>
      <xdr:colOff>494999</xdr:colOff>
      <xdr:row>24</xdr:row>
      <xdr:rowOff>72064</xdr:rowOff>
    </xdr:to>
    <mc:AlternateContent xmlns:mc="http://schemas.openxmlformats.org/markup-compatibility/2006">
      <mc:Choice xmlns:a14="http://schemas.microsoft.com/office/drawing/2010/main" Requires="a14">
        <xdr:graphicFrame macro="">
          <xdr:nvGraphicFramePr>
            <xdr:cNvPr id="51" name="Order_Status 2">
              <a:extLst>
                <a:ext uri="{FF2B5EF4-FFF2-40B4-BE49-F238E27FC236}">
                  <a16:creationId xmlns:a16="http://schemas.microsoft.com/office/drawing/2014/main" id="{15BD1DF2-BADD-2588-F275-8DE1EE1C8B64}"/>
                </a:ext>
              </a:extLst>
            </xdr:cNvPr>
            <xdr:cNvGraphicFramePr/>
          </xdr:nvGraphicFramePr>
          <xdr:xfrm>
            <a:off x="0" y="0"/>
            <a:ext cx="0" cy="0"/>
          </xdr:xfrm>
          <a:graphic>
            <a:graphicData uri="http://schemas.microsoft.com/office/drawing/2010/slicer">
              <sle:slicer xmlns:sle="http://schemas.microsoft.com/office/drawing/2010/slicer" name="Order_Status 2"/>
            </a:graphicData>
          </a:graphic>
        </xdr:graphicFrame>
      </mc:Choice>
      <mc:Fallback>
        <xdr:sp macro="" textlink="">
          <xdr:nvSpPr>
            <xdr:cNvPr id="0" name=""/>
            <xdr:cNvSpPr>
              <a:spLocks noTextEdit="1"/>
            </xdr:cNvSpPr>
          </xdr:nvSpPr>
          <xdr:spPr>
            <a:xfrm>
              <a:off x="13707835" y="1951264"/>
              <a:ext cx="2095200" cy="269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236764</xdr:colOff>
      <xdr:row>10</xdr:row>
      <xdr:rowOff>5443</xdr:rowOff>
    </xdr:from>
    <xdr:to>
      <xdr:col>25</xdr:col>
      <xdr:colOff>494999</xdr:colOff>
      <xdr:row>24</xdr:row>
      <xdr:rowOff>31243</xdr:rowOff>
    </xdr:to>
    <mc:AlternateContent xmlns:mc="http://schemas.openxmlformats.org/markup-compatibility/2006">
      <mc:Choice xmlns:a14="http://schemas.microsoft.com/office/drawing/2010/main" Requires="a14">
        <xdr:graphicFrame macro="">
          <xdr:nvGraphicFramePr>
            <xdr:cNvPr id="54" name="Order_Status 3">
              <a:extLst>
                <a:ext uri="{FF2B5EF4-FFF2-40B4-BE49-F238E27FC236}">
                  <a16:creationId xmlns:a16="http://schemas.microsoft.com/office/drawing/2014/main" id="{992D4FF9-7146-56C4-8192-44883D3D687C}"/>
                </a:ext>
              </a:extLst>
            </xdr:cNvPr>
            <xdr:cNvGraphicFramePr/>
          </xdr:nvGraphicFramePr>
          <xdr:xfrm>
            <a:off x="0" y="0"/>
            <a:ext cx="0" cy="0"/>
          </xdr:xfrm>
          <a:graphic>
            <a:graphicData uri="http://schemas.microsoft.com/office/drawing/2010/slicer">
              <sle:slicer xmlns:sle="http://schemas.microsoft.com/office/drawing/2010/slicer" name="Order_Status 3"/>
            </a:graphicData>
          </a:graphic>
        </xdr:graphicFrame>
      </mc:Choice>
      <mc:Fallback>
        <xdr:sp macro="" textlink="">
          <xdr:nvSpPr>
            <xdr:cNvPr id="0" name=""/>
            <xdr:cNvSpPr>
              <a:spLocks noTextEdit="1"/>
            </xdr:cNvSpPr>
          </xdr:nvSpPr>
          <xdr:spPr>
            <a:xfrm>
              <a:off x="13707835" y="1910443"/>
              <a:ext cx="2095200" cy="269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236764</xdr:colOff>
      <xdr:row>24</xdr:row>
      <xdr:rowOff>157843</xdr:rowOff>
    </xdr:from>
    <xdr:to>
      <xdr:col>25</xdr:col>
      <xdr:colOff>494999</xdr:colOff>
      <xdr:row>39</xdr:row>
      <xdr:rowOff>54429</xdr:rowOff>
    </xdr:to>
    <mc:AlternateContent xmlns:mc="http://schemas.openxmlformats.org/markup-compatibility/2006">
      <mc:Choice xmlns:a14="http://schemas.microsoft.com/office/drawing/2010/main" Requires="a14">
        <xdr:graphicFrame macro="">
          <xdr:nvGraphicFramePr>
            <xdr:cNvPr id="55" name="Customer_Segment 3">
              <a:extLst>
                <a:ext uri="{FF2B5EF4-FFF2-40B4-BE49-F238E27FC236}">
                  <a16:creationId xmlns:a16="http://schemas.microsoft.com/office/drawing/2014/main" id="{22576E6C-2C9E-E3B5-3868-8EA694783C54}"/>
                </a:ext>
              </a:extLst>
            </xdr:cNvPr>
            <xdr:cNvGraphicFramePr/>
          </xdr:nvGraphicFramePr>
          <xdr:xfrm>
            <a:off x="0" y="0"/>
            <a:ext cx="0" cy="0"/>
          </xdr:xfrm>
          <a:graphic>
            <a:graphicData uri="http://schemas.microsoft.com/office/drawing/2010/slicer">
              <sle:slicer xmlns:sle="http://schemas.microsoft.com/office/drawing/2010/slicer" name="Customer_Segment 3"/>
            </a:graphicData>
          </a:graphic>
        </xdr:graphicFrame>
      </mc:Choice>
      <mc:Fallback>
        <xdr:sp macro="" textlink="">
          <xdr:nvSpPr>
            <xdr:cNvPr id="0" name=""/>
            <xdr:cNvSpPr>
              <a:spLocks noTextEdit="1"/>
            </xdr:cNvSpPr>
          </xdr:nvSpPr>
          <xdr:spPr>
            <a:xfrm>
              <a:off x="13707835" y="4729843"/>
              <a:ext cx="2095200" cy="27540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236764</xdr:colOff>
      <xdr:row>39</xdr:row>
      <xdr:rowOff>119743</xdr:rowOff>
    </xdr:from>
    <xdr:to>
      <xdr:col>25</xdr:col>
      <xdr:colOff>494999</xdr:colOff>
      <xdr:row>53</xdr:row>
      <xdr:rowOff>145543</xdr:rowOff>
    </xdr:to>
    <mc:AlternateContent xmlns:mc="http://schemas.openxmlformats.org/markup-compatibility/2006">
      <mc:Choice xmlns:a14="http://schemas.microsoft.com/office/drawing/2010/main" Requires="a14">
        <xdr:graphicFrame macro="">
          <xdr:nvGraphicFramePr>
            <xdr:cNvPr id="56" name="Shipping_Mode 3">
              <a:extLst>
                <a:ext uri="{FF2B5EF4-FFF2-40B4-BE49-F238E27FC236}">
                  <a16:creationId xmlns:a16="http://schemas.microsoft.com/office/drawing/2014/main" id="{D5F8797C-17C7-7F35-15BA-AF6E292EF054}"/>
                </a:ext>
              </a:extLst>
            </xdr:cNvPr>
            <xdr:cNvGraphicFramePr/>
          </xdr:nvGraphicFramePr>
          <xdr:xfrm>
            <a:off x="0" y="0"/>
            <a:ext cx="0" cy="0"/>
          </xdr:xfrm>
          <a:graphic>
            <a:graphicData uri="http://schemas.microsoft.com/office/drawing/2010/slicer">
              <sle:slicer xmlns:sle="http://schemas.microsoft.com/office/drawing/2010/slicer" name="Shipping_Mode 3"/>
            </a:graphicData>
          </a:graphic>
        </xdr:graphicFrame>
      </mc:Choice>
      <mc:Fallback>
        <xdr:sp macro="" textlink="">
          <xdr:nvSpPr>
            <xdr:cNvPr id="0" name=""/>
            <xdr:cNvSpPr>
              <a:spLocks noTextEdit="1"/>
            </xdr:cNvSpPr>
          </xdr:nvSpPr>
          <xdr:spPr>
            <a:xfrm>
              <a:off x="13707835" y="7549243"/>
              <a:ext cx="2095200" cy="269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408215</xdr:colOff>
      <xdr:row>56</xdr:row>
      <xdr:rowOff>54429</xdr:rowOff>
    </xdr:from>
    <xdr:to>
      <xdr:col>22</xdr:col>
      <xdr:colOff>231322</xdr:colOff>
      <xdr:row>69</xdr:row>
      <xdr:rowOff>176893</xdr:rowOff>
    </xdr:to>
    <xdr:sp macro="" textlink="">
      <xdr:nvSpPr>
        <xdr:cNvPr id="57" name="TextBox 56">
          <a:extLst>
            <a:ext uri="{FF2B5EF4-FFF2-40B4-BE49-F238E27FC236}">
              <a16:creationId xmlns:a16="http://schemas.microsoft.com/office/drawing/2014/main" id="{385EA7D1-DFB8-B227-0D60-E06E7249CBD1}"/>
            </a:ext>
          </a:extLst>
        </xdr:cNvPr>
        <xdr:cNvSpPr txBox="1"/>
      </xdr:nvSpPr>
      <xdr:spPr>
        <a:xfrm>
          <a:off x="2857501" y="10722429"/>
          <a:ext cx="10844892" cy="2598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2"/>
              </a:solidFill>
            </a:rPr>
            <a:t>KEY BUSINESS INSIGHTS</a:t>
          </a:r>
        </a:p>
        <a:p>
          <a:pPr algn="ctr"/>
          <a:endParaRPr lang="en-IN" sz="2000" b="1"/>
        </a:p>
        <a:p>
          <a:pPr algn="ctr"/>
          <a:r>
            <a:rPr lang="en-IN" sz="2000" b="1"/>
            <a:t>• Electronics is the highest-sales category in the dataset.</a:t>
          </a:r>
        </a:p>
        <a:p>
          <a:pPr algn="ctr"/>
          <a:r>
            <a:rPr lang="en-IN" sz="2000" b="1"/>
            <a:t>• North region records the highest sales among the four regions.</a:t>
          </a:r>
        </a:p>
        <a:p>
          <a:pPr algn="ctr"/>
          <a:r>
            <a:rPr lang="en-IN" sz="2000" b="1"/>
            <a:t>• Laptop is the highest-selling product by sales value among the Top 5 products.</a:t>
          </a:r>
        </a:p>
        <a:p>
          <a:pPr algn="ctr"/>
          <a:r>
            <a:rPr lang="en-IN" sz="2000" b="1"/>
            <a:t>• Corporate customers generate the highest sales among the customer segments shown.</a:t>
          </a:r>
        </a:p>
        <a:p>
          <a:pPr algn="ctr"/>
          <a:r>
            <a:rPr lang="en-IN" sz="2000" b="1"/>
            <a:t>• Total sales of ₹1.22M and total profit of ₹289K indicate positive overall profitability.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pancholi" refreshedDate="46290.790805324075" createdVersion="8" refreshedVersion="8" minRefreshableVersion="3" recordCount="100" xr:uid="{0074D10D-F2BD-4F62-9F35-347C476960FA}">
  <cacheSource type="worksheet">
    <worksheetSource name="ECommerceData"/>
  </cacheSource>
  <cacheFields count="30">
    <cacheField name="Order_ID" numFmtId="0">
      <sharedItems containsSemiMixedTypes="0" containsString="0" containsNumber="1" containsInteger="1" minValue="1" maxValue="100"/>
    </cacheField>
    <cacheField name="Order_Date" numFmtId="164">
      <sharedItems containsSemiMixedTypes="0" containsNonDate="0" containsDate="1" containsString="0" minDate="2026-01-03T00:00:00" maxDate="2026-09-25T00:00:00" count="84">
        <d v="2026-02-27T00:00:00"/>
        <d v="2026-09-16T00:00:00"/>
        <d v="2026-06-24T00:00:00"/>
        <d v="2026-03-05T00:00:00"/>
        <d v="2026-04-30T00:00:00"/>
        <d v="2026-03-25T00:00:00"/>
        <d v="2026-05-18T00:00:00"/>
        <d v="2026-05-15T00:00:00"/>
        <d v="2026-08-05T00:00:00"/>
        <d v="2026-03-20T00:00:00"/>
        <d v="2026-01-30T00:00:00"/>
        <d v="2026-04-28T00:00:00"/>
        <d v="2026-09-06T00:00:00"/>
        <d v="2026-08-09T00:00:00"/>
        <d v="2026-08-18T00:00:00"/>
        <d v="2026-05-02T00:00:00"/>
        <d v="2026-09-07T00:00:00"/>
        <d v="2026-09-15T00:00:00"/>
        <d v="2026-01-21T00:00:00"/>
        <d v="2026-06-03T00:00:00"/>
        <d v="2026-07-09T00:00:00"/>
        <d v="2026-02-24T00:00:00"/>
        <d v="2026-02-17T00:00:00"/>
        <d v="2026-03-18T00:00:00"/>
        <d v="2026-02-22T00:00:00"/>
        <d v="2026-06-20T00:00:00"/>
        <d v="2026-04-25T00:00:00"/>
        <d v="2026-05-14T00:00:00"/>
        <d v="2026-01-23T00:00:00"/>
        <d v="2026-06-04T00:00:00"/>
        <d v="2026-04-20T00:00:00"/>
        <d v="2026-01-13T00:00:00"/>
        <d v="2026-01-03T00:00:00"/>
        <d v="2026-06-12T00:00:00"/>
        <d v="2026-09-24T00:00:00"/>
        <d v="2026-09-02T00:00:00"/>
        <d v="2026-01-15T00:00:00"/>
        <d v="2026-02-12T00:00:00"/>
        <d v="2026-08-29T00:00:00"/>
        <d v="2026-02-28T00:00:00"/>
        <d v="2026-07-05T00:00:00"/>
        <d v="2026-04-04T00:00:00"/>
        <d v="2026-02-13T00:00:00"/>
        <d v="2026-05-05T00:00:00"/>
        <d v="2026-04-09T00:00:00"/>
        <d v="2026-07-04T00:00:00"/>
        <d v="2026-05-26T00:00:00"/>
        <d v="2026-01-28T00:00:00"/>
        <d v="2026-06-02T00:00:00"/>
        <d v="2026-03-30T00:00:00"/>
        <d v="2026-05-28T00:00:00"/>
        <d v="2026-06-15T00:00:00"/>
        <d v="2026-09-23T00:00:00"/>
        <d v="2026-03-24T00:00:00"/>
        <d v="2026-07-26T00:00:00"/>
        <d v="2026-03-09T00:00:00"/>
        <d v="2026-04-08T00:00:00"/>
        <d v="2026-09-08T00:00:00"/>
        <d v="2026-06-19T00:00:00"/>
        <d v="2026-07-23T00:00:00"/>
        <d v="2026-02-16T00:00:00"/>
        <d v="2026-03-16T00:00:00"/>
        <d v="2026-08-25T00:00:00"/>
        <d v="2026-04-12T00:00:00"/>
        <d v="2026-01-26T00:00:00"/>
        <d v="2026-09-14T00:00:00"/>
        <d v="2026-02-25T00:00:00"/>
        <d v="2026-03-01T00:00:00"/>
        <d v="2026-03-21T00:00:00"/>
        <d v="2026-07-03T00:00:00"/>
        <d v="2026-04-16T00:00:00"/>
        <d v="2026-05-09T00:00:00"/>
        <d v="2026-08-04T00:00:00"/>
        <d v="2026-01-16T00:00:00"/>
        <d v="2026-06-16T00:00:00"/>
        <d v="2026-06-23T00:00:00"/>
        <d v="2026-08-10T00:00:00"/>
        <d v="2026-01-27T00:00:00"/>
        <d v="2026-08-08T00:00:00"/>
        <d v="2026-03-15T00:00:00"/>
        <d v="2026-07-22T00:00:00"/>
        <d v="2026-07-14T00:00:00"/>
        <d v="2026-06-10T00:00:00"/>
        <d v="2026-02-08T00:00:00"/>
      </sharedItems>
      <fieldGroup par="29"/>
    </cacheField>
    <cacheField name="Customer_ID" numFmtId="0">
      <sharedItems/>
    </cacheField>
    <cacheField name="Customer_Name" numFmtId="0">
      <sharedItems/>
    </cacheField>
    <cacheField name="Gender" numFmtId="0">
      <sharedItems/>
    </cacheField>
    <cacheField name="Age" numFmtId="0">
      <sharedItems containsSemiMixedTypes="0" containsString="0" containsNumber="1" containsInteger="1" minValue="18" maxValue="55"/>
    </cacheField>
    <cacheField name="City" numFmtId="0">
      <sharedItems/>
    </cacheField>
    <cacheField name="State" numFmtId="0">
      <sharedItems/>
    </cacheField>
    <cacheField name="Region" numFmtId="0">
      <sharedItems count="4">
        <s v="West"/>
        <s v="North"/>
        <s v="South"/>
        <s v="East"/>
      </sharedItems>
    </cacheField>
    <cacheField name="Product_ID" numFmtId="0">
      <sharedItems/>
    </cacheField>
    <cacheField name="Product_Name" numFmtId="0">
      <sharedItems count="18">
        <s v="Coffee Maker"/>
        <s v="Wireless Headphones"/>
        <s v="Bluetooth Speaker"/>
        <s v="Laptop"/>
        <s v="Face Wash"/>
        <s v="T-Shirt"/>
        <s v="Perfume"/>
        <s v="Running Shoes"/>
        <s v="Desk Organizer"/>
        <s v="Backpack"/>
        <s v="LED Table Lamp"/>
        <s v="Smartphone"/>
        <s v="Pen Set"/>
        <s v="Notebook Set"/>
        <s v="Cookware Set"/>
        <s v="Office Chair"/>
        <s v="Smart Watch"/>
        <s v="Hair Dryer"/>
      </sharedItems>
    </cacheField>
    <cacheField name="Category" numFmtId="0">
      <sharedItems count="5">
        <s v="Home &amp; Kitchen"/>
        <s v="Electronics"/>
        <s v="Beauty"/>
        <s v="Fashion"/>
        <s v="Stationery"/>
      </sharedItems>
    </cacheField>
    <cacheField name="Sub_Category" numFmtId="0">
      <sharedItems/>
    </cacheField>
    <cacheField name="Brand"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178.33" maxValue="54411.839999999997"/>
    </cacheField>
    <cacheField name="Discount" numFmtId="0">
      <sharedItems containsSemiMixedTypes="0" containsString="0" containsNumber="1" minValue="0" maxValue="0.25"/>
    </cacheField>
    <cacheField name="Sales" numFmtId="0">
      <sharedItems containsSemiMixedTypes="0" containsString="0" containsNumber="1" minValue="0" maxValue="186933.95"/>
    </cacheField>
    <cacheField name="Cost" numFmtId="0">
      <sharedItems containsSemiMixedTypes="0" containsString="0" containsNumber="1" minValue="176.72" maxValue="136171.04999999999"/>
    </cacheField>
    <cacheField name="Profit" numFmtId="0">
      <sharedItems containsSemiMixedTypes="0" containsString="0" containsNumber="1" minValue="-3749.64" maxValue="50762.9"/>
    </cacheField>
    <cacheField name="Payment_Mode" numFmtId="0">
      <sharedItems count="5">
        <s v="UPI"/>
        <s v="Credit Card"/>
        <s v="Net Banking"/>
        <s v="Debit Card"/>
        <s v="Cash on Delivery"/>
      </sharedItems>
    </cacheField>
    <cacheField name="Order_Status" numFmtId="0">
      <sharedItems count="3">
        <s v="Returned"/>
        <s v="Delivered"/>
        <s v="Cancelled"/>
      </sharedItems>
    </cacheField>
    <cacheField name="Customer_Segment" numFmtId="0">
      <sharedItems count="3">
        <s v="Consumer"/>
        <s v="Small Business"/>
        <s v="Corporate"/>
      </sharedItems>
    </cacheField>
    <cacheField name="Shipping_Mode" numFmtId="0">
      <sharedItems count="3">
        <s v="Standard"/>
        <s v="Express"/>
        <s v="Same Day"/>
      </sharedItems>
    </cacheField>
    <cacheField name="Delivery_Days" numFmtId="0">
      <sharedItems containsSemiMixedTypes="0" containsString="0" containsNumber="1" containsInteger="1" minValue="0" maxValue="7"/>
    </cacheField>
    <cacheField name="Profit_Margin" numFmtId="0">
      <sharedItems containsSemiMixedTypes="0" containsString="0" containsNumber="1" minValue="-0.32237588989614852" maxValue="0.4163142186826691"/>
    </cacheField>
    <cacheField name="Order_Month" numFmtId="0">
      <sharedItems/>
    </cacheField>
    <cacheField name="Order_Year" numFmtId="0">
      <sharedItems containsSemiMixedTypes="0" containsString="0" containsNumber="1" containsInteger="1" minValue="2026" maxValue="2026"/>
    </cacheField>
    <cacheField name="Order_Value_Category" numFmtId="0">
      <sharedItems/>
    </cacheField>
    <cacheField name="Months (Order_Date)" numFmtId="0" databaseField="0">
      <fieldGroup base="1">
        <rangePr groupBy="months" startDate="2026-01-03T00:00:00" endDate="2026-09-25T00:00:00"/>
        <groupItems count="14">
          <s v="&lt;03-01-2026"/>
          <s v="Jan"/>
          <s v="Feb"/>
          <s v="Mar"/>
          <s v="Apr"/>
          <s v="May"/>
          <s v="Jun"/>
          <s v="Jul"/>
          <s v="Aug"/>
          <s v="Sep"/>
          <s v="Oct"/>
          <s v="Nov"/>
          <s v="Dec"/>
          <s v="&gt;25-09-2026"/>
        </groupItems>
      </fieldGroup>
    </cacheField>
  </cacheFields>
  <extLst>
    <ext xmlns:x14="http://schemas.microsoft.com/office/spreadsheetml/2009/9/main" uri="{725AE2AE-9491-48be-B2B4-4EB974FC3084}">
      <x14:pivotCacheDefinition pivotCacheId="215236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x v="0"/>
    <s v="C038"/>
    <s v="Aarav Mehta"/>
    <s v="Male"/>
    <n v="19"/>
    <s v="Mumbai"/>
    <s v="Maharashtra"/>
    <x v="0"/>
    <s v="P009"/>
    <x v="0"/>
    <x v="0"/>
    <s v="Appliances"/>
    <s v="Philips"/>
    <n v="2"/>
    <n v="5195.53"/>
    <n v="0.25"/>
    <n v="7793.3"/>
    <n v="4711.82"/>
    <n v="-2299.06"/>
    <x v="0"/>
    <x v="0"/>
    <x v="0"/>
    <x v="0"/>
    <n v="1"/>
    <n v="-0.29500468351019465"/>
    <s v="Feb"/>
    <n v="2026"/>
    <s v="Low Value"/>
  </r>
  <r>
    <n v="2"/>
    <x v="1"/>
    <s v="C029"/>
    <s v="Vivaan Kapoor"/>
    <s v="Female"/>
    <n v="18"/>
    <s v="Lucknow"/>
    <s v="Uttar Pradesh"/>
    <x v="1"/>
    <s v="P001"/>
    <x v="1"/>
    <x v="1"/>
    <s v="Audio"/>
    <s v="Boat"/>
    <n v="5"/>
    <n v="2067.4899999999998"/>
    <n v="0.25"/>
    <n v="7753.08"/>
    <n v="5801.77"/>
    <n v="1951.31"/>
    <x v="1"/>
    <x v="1"/>
    <x v="1"/>
    <x v="1"/>
    <n v="2"/>
    <n v="0.25168191222069164"/>
    <s v="Sep"/>
    <n v="2026"/>
    <s v="Low Value"/>
  </r>
  <r>
    <n v="3"/>
    <x v="2"/>
    <s v="C023"/>
    <s v="Aditya Sharma"/>
    <s v="Female"/>
    <n v="34"/>
    <s v="Jaipur"/>
    <s v="Rajasthan"/>
    <x v="1"/>
    <s v="P005"/>
    <x v="2"/>
    <x v="1"/>
    <s v="Audio"/>
    <s v="JBL"/>
    <n v="2"/>
    <n v="4584.0600000000004"/>
    <n v="0.1"/>
    <n v="8251.31"/>
    <n v="4988.17"/>
    <n v="3263.14"/>
    <x v="0"/>
    <x v="1"/>
    <x v="1"/>
    <x v="1"/>
    <n v="1"/>
    <n v="0.39546932547680308"/>
    <s v="Jun"/>
    <n v="2026"/>
    <s v="Low Value"/>
  </r>
  <r>
    <n v="4"/>
    <x v="3"/>
    <s v="C013"/>
    <s v="Arjun Malhotra"/>
    <s v="Male"/>
    <n v="20"/>
    <s v="Chennai"/>
    <s v="Tamil Nadu"/>
    <x v="2"/>
    <s v="P003"/>
    <x v="3"/>
    <x v="1"/>
    <s v="Computers"/>
    <s v="HP"/>
    <n v="5"/>
    <n v="49849.05"/>
    <n v="0.25"/>
    <n v="186933.95"/>
    <n v="136171.04999999999"/>
    <n v="50762.9"/>
    <x v="1"/>
    <x v="1"/>
    <x v="2"/>
    <x v="0"/>
    <n v="5"/>
    <n v="0.27155527393499146"/>
    <s v="Mar"/>
    <n v="2026"/>
    <s v="High Value"/>
  </r>
  <r>
    <n v="5"/>
    <x v="4"/>
    <s v="C043"/>
    <s v="Rohan Desai"/>
    <s v="Male"/>
    <n v="28"/>
    <s v="Pune"/>
    <s v="Maharashtra"/>
    <x v="0"/>
    <s v="P013"/>
    <x v="4"/>
    <x v="2"/>
    <s v="Skincare"/>
    <s v="Nivea"/>
    <n v="3"/>
    <n v="445.81"/>
    <n v="0.1"/>
    <n v="1203.68"/>
    <n v="745.12"/>
    <n v="458.56"/>
    <x v="2"/>
    <x v="1"/>
    <x v="1"/>
    <x v="0"/>
    <n v="2"/>
    <n v="0.38096504054233682"/>
    <s v="Apr"/>
    <n v="2026"/>
    <s v="Low Value"/>
  </r>
  <r>
    <n v="6"/>
    <x v="5"/>
    <s v="C021"/>
    <s v="Kabir Shah"/>
    <s v="Male"/>
    <n v="32"/>
    <s v="Hyderabad"/>
    <s v="Telangana"/>
    <x v="2"/>
    <s v="P013"/>
    <x v="4"/>
    <x v="2"/>
    <s v="Skincare"/>
    <s v="Nivea"/>
    <n v="3"/>
    <n v="494.06"/>
    <n v="0.25"/>
    <n v="1111.6300000000001"/>
    <n v="828.34"/>
    <n v="283.29000000000002"/>
    <x v="0"/>
    <x v="1"/>
    <x v="2"/>
    <x v="1"/>
    <n v="6"/>
    <n v="0.25484198879123449"/>
    <s v="Mar"/>
    <n v="2026"/>
    <s v="Low Value"/>
  </r>
  <r>
    <n v="7"/>
    <x v="6"/>
    <s v="C057"/>
    <s v="Vihaan Patel"/>
    <s v="Female"/>
    <n v="27"/>
    <s v="Pune"/>
    <s v="Maharashtra"/>
    <x v="0"/>
    <s v="P007"/>
    <x v="5"/>
    <x v="3"/>
    <s v="Clothing"/>
    <s v="Puma"/>
    <n v="5"/>
    <n v="967.75"/>
    <n v="0.1"/>
    <n v="4354.8599999999997"/>
    <n v="2748.05"/>
    <n v="1606.81"/>
    <x v="3"/>
    <x v="1"/>
    <x v="0"/>
    <x v="0"/>
    <n v="4"/>
    <n v="0.36896938133487645"/>
    <s v="May"/>
    <n v="2026"/>
    <s v="Low Value"/>
  </r>
  <r>
    <n v="8"/>
    <x v="7"/>
    <s v="C032"/>
    <s v="Reyansh Joshi"/>
    <s v="Male"/>
    <n v="25"/>
    <s v="Lucknow"/>
    <s v="Uttar Pradesh"/>
    <x v="1"/>
    <s v="P014"/>
    <x v="6"/>
    <x v="2"/>
    <s v="Fragrance"/>
    <s v="Fogg"/>
    <n v="5"/>
    <n v="1175.8599999999999"/>
    <n v="0.05"/>
    <n v="5585.32"/>
    <n v="4576.37"/>
    <n v="1008.94"/>
    <x v="1"/>
    <x v="1"/>
    <x v="1"/>
    <x v="0"/>
    <n v="5"/>
    <n v="0.18064139565861939"/>
    <s v="May"/>
    <n v="2026"/>
    <s v="Low Value"/>
  </r>
  <r>
    <n v="9"/>
    <x v="8"/>
    <s v="C056"/>
    <s v="Ishaan Verma"/>
    <s v="Male"/>
    <n v="52"/>
    <s v="Lucknow"/>
    <s v="Uttar Pradesh"/>
    <x v="1"/>
    <s v="P003"/>
    <x v="3"/>
    <x v="1"/>
    <s v="Computers"/>
    <s v="HP"/>
    <n v="4"/>
    <n v="50768.84"/>
    <n v="0.15"/>
    <n v="0"/>
    <n v="122035.97"/>
    <n v="0"/>
    <x v="3"/>
    <x v="2"/>
    <x v="1"/>
    <x v="1"/>
    <n v="0"/>
    <n v="0"/>
    <s v="Aug"/>
    <n v="2026"/>
    <s v="Low Value"/>
  </r>
  <r>
    <n v="10"/>
    <x v="0"/>
    <s v="C049"/>
    <s v="Dhruv Nair"/>
    <s v="Male"/>
    <n v="37"/>
    <s v="Jaipur"/>
    <s v="Rajasthan"/>
    <x v="1"/>
    <s v="P014"/>
    <x v="6"/>
    <x v="2"/>
    <s v="Fragrance"/>
    <s v="Fogg"/>
    <n v="2"/>
    <n v="1188.8900000000001"/>
    <n v="0.25"/>
    <n v="1783.34"/>
    <n v="1409.2"/>
    <n v="374.14"/>
    <x v="2"/>
    <x v="1"/>
    <x v="1"/>
    <x v="0"/>
    <n v="5"/>
    <n v="0.20979734655197552"/>
    <s v="Feb"/>
    <n v="2026"/>
    <s v="Low Value"/>
  </r>
  <r>
    <n v="11"/>
    <x v="9"/>
    <s v="C021"/>
    <s v="Aanya Mehta"/>
    <s v="Male"/>
    <n v="25"/>
    <s v="Bengaluru"/>
    <s v="Karnataka"/>
    <x v="2"/>
    <s v="P006"/>
    <x v="7"/>
    <x v="3"/>
    <s v="Footwear"/>
    <s v="Nike"/>
    <n v="5"/>
    <n v="4908.1499999999996"/>
    <n v="0.2"/>
    <n v="0"/>
    <n v="15714.69"/>
    <n v="0"/>
    <x v="3"/>
    <x v="2"/>
    <x v="2"/>
    <x v="0"/>
    <n v="0"/>
    <n v="0"/>
    <s v="Mar"/>
    <n v="2026"/>
    <s v="Low Value"/>
  </r>
  <r>
    <n v="12"/>
    <x v="10"/>
    <s v="C050"/>
    <s v="Anaya Kapoor"/>
    <s v="Male"/>
    <n v="48"/>
    <s v="Delhi"/>
    <s v="Delhi"/>
    <x v="1"/>
    <s v="P003"/>
    <x v="3"/>
    <x v="1"/>
    <s v="Computers"/>
    <s v="HP"/>
    <n v="1"/>
    <n v="54411.839999999997"/>
    <n v="0"/>
    <n v="0"/>
    <n v="44330.21"/>
    <n v="0"/>
    <x v="2"/>
    <x v="2"/>
    <x v="0"/>
    <x v="1"/>
    <n v="0"/>
    <n v="0"/>
    <s v="Jan"/>
    <n v="2026"/>
    <s v="Low Value"/>
  </r>
  <r>
    <n v="13"/>
    <x v="8"/>
    <s v="C029"/>
    <s v="Diya Sharma"/>
    <s v="Male"/>
    <n v="32"/>
    <s v="Delhi"/>
    <s v="Delhi"/>
    <x v="1"/>
    <s v="P018"/>
    <x v="8"/>
    <x v="4"/>
    <s v="Office"/>
    <s v="Oddy"/>
    <n v="2"/>
    <n v="625.54999999999995"/>
    <n v="0.15"/>
    <n v="1063.44"/>
    <n v="870.78"/>
    <n v="-93.77"/>
    <x v="0"/>
    <x v="0"/>
    <x v="2"/>
    <x v="0"/>
    <n v="5"/>
    <n v="-8.8176107725870756E-2"/>
    <s v="Aug"/>
    <n v="2026"/>
    <s v="Low Value"/>
  </r>
  <r>
    <n v="14"/>
    <x v="11"/>
    <s v="C056"/>
    <s v="Myra Malhotra"/>
    <s v="Male"/>
    <n v="50"/>
    <s v="Lucknow"/>
    <s v="Uttar Pradesh"/>
    <x v="1"/>
    <s v="P008"/>
    <x v="9"/>
    <x v="3"/>
    <s v="Accessories"/>
    <s v="Wildcraft"/>
    <n v="1"/>
    <n v="1645.56"/>
    <n v="0.25"/>
    <n v="1234.17"/>
    <n v="733.26"/>
    <n v="500.91"/>
    <x v="1"/>
    <x v="1"/>
    <x v="2"/>
    <x v="2"/>
    <n v="1"/>
    <n v="0.4058679112277887"/>
    <s v="Apr"/>
    <n v="2026"/>
    <s v="Low Value"/>
  </r>
  <r>
    <n v="15"/>
    <x v="12"/>
    <s v="C031"/>
    <s v="Kiara Desai"/>
    <s v="Female"/>
    <n v="30"/>
    <s v="Delhi"/>
    <s v="Delhi"/>
    <x v="1"/>
    <s v="P018"/>
    <x v="8"/>
    <x v="4"/>
    <s v="Office"/>
    <s v="Oddy"/>
    <n v="2"/>
    <n v="626.79999999999995"/>
    <n v="0.2"/>
    <n v="1002.88"/>
    <n v="720.36"/>
    <n v="282.52"/>
    <x v="0"/>
    <x v="1"/>
    <x v="0"/>
    <x v="2"/>
    <n v="7"/>
    <n v="0.28170867900446711"/>
    <s v="Sep"/>
    <n v="2026"/>
    <s v="Low Value"/>
  </r>
  <r>
    <n v="16"/>
    <x v="13"/>
    <s v="C004"/>
    <s v="Riya Shah"/>
    <s v="Female"/>
    <n v="24"/>
    <s v="Bengaluru"/>
    <s v="Karnataka"/>
    <x v="2"/>
    <s v="P014"/>
    <x v="6"/>
    <x v="2"/>
    <s v="Fragrance"/>
    <s v="Fogg"/>
    <n v="4"/>
    <n v="1192.0899999999999"/>
    <n v="0.25"/>
    <n v="3576.26"/>
    <n v="2120.7199999999998"/>
    <n v="-1152.9000000000001"/>
    <x v="1"/>
    <x v="0"/>
    <x v="0"/>
    <x v="0"/>
    <n v="1"/>
    <n v="-0.32237588989614852"/>
    <s v="Aug"/>
    <n v="2026"/>
    <s v="Low Value"/>
  </r>
  <r>
    <n v="17"/>
    <x v="14"/>
    <s v="C052"/>
    <s v="Ira Patel"/>
    <s v="Male"/>
    <n v="21"/>
    <s v="Ahmedabad"/>
    <s v="Gujarat"/>
    <x v="0"/>
    <s v="P014"/>
    <x v="6"/>
    <x v="2"/>
    <s v="Fragrance"/>
    <s v="Fogg"/>
    <n v="2"/>
    <n v="1146.8499999999999"/>
    <n v="0.05"/>
    <n v="2179.02"/>
    <n v="1721.15"/>
    <n v="457.86"/>
    <x v="2"/>
    <x v="1"/>
    <x v="0"/>
    <x v="0"/>
    <n v="4"/>
    <n v="0.21012198144119834"/>
    <s v="Aug"/>
    <n v="2026"/>
    <s v="Low Value"/>
  </r>
  <r>
    <n v="18"/>
    <x v="15"/>
    <s v="C001"/>
    <s v="Tara Joshi"/>
    <s v="Female"/>
    <n v="47"/>
    <s v="Ahmedabad"/>
    <s v="Gujarat"/>
    <x v="0"/>
    <s v="P014"/>
    <x v="6"/>
    <x v="2"/>
    <s v="Fragrance"/>
    <s v="Fogg"/>
    <n v="4"/>
    <n v="1195.53"/>
    <n v="0.15"/>
    <n v="4064.79"/>
    <n v="3237.95"/>
    <n v="826.83"/>
    <x v="3"/>
    <x v="1"/>
    <x v="2"/>
    <x v="2"/>
    <n v="4"/>
    <n v="0.20341272242846495"/>
    <s v="May"/>
    <n v="2026"/>
    <s v="Low Value"/>
  </r>
  <r>
    <n v="19"/>
    <x v="16"/>
    <s v="C004"/>
    <s v="Avni Verma"/>
    <s v="Female"/>
    <n v="21"/>
    <s v="Ahmedabad"/>
    <s v="Gujarat"/>
    <x v="0"/>
    <s v="P007"/>
    <x v="5"/>
    <x v="3"/>
    <s v="Clothing"/>
    <s v="Puma"/>
    <n v="3"/>
    <n v="849.19"/>
    <n v="0"/>
    <n v="0"/>
    <n v="1831.7"/>
    <n v="0"/>
    <x v="0"/>
    <x v="2"/>
    <x v="1"/>
    <x v="1"/>
    <n v="0"/>
    <n v="0"/>
    <s v="Sep"/>
    <n v="2026"/>
    <s v="Low Value"/>
  </r>
  <r>
    <n v="20"/>
    <x v="17"/>
    <s v="C005"/>
    <s v="Anika Nair"/>
    <s v="Male"/>
    <n v="43"/>
    <s v="Kolkata"/>
    <s v="West Bengal"/>
    <x v="3"/>
    <s v="P006"/>
    <x v="7"/>
    <x v="3"/>
    <s v="Footwear"/>
    <s v="Nike"/>
    <n v="1"/>
    <n v="4914.7"/>
    <n v="0"/>
    <n v="4914.7"/>
    <n v="3854.71"/>
    <n v="1059.99"/>
    <x v="0"/>
    <x v="1"/>
    <x v="1"/>
    <x v="0"/>
    <n v="5"/>
    <n v="0.21567745742364744"/>
    <s v="Sep"/>
    <n v="2026"/>
    <s v="Low Value"/>
  </r>
  <r>
    <n v="21"/>
    <x v="18"/>
    <s v="C043"/>
    <s v="Neel Mehta"/>
    <s v="Female"/>
    <n v="33"/>
    <s v="Lucknow"/>
    <s v="Uttar Pradesh"/>
    <x v="1"/>
    <s v="P003"/>
    <x v="3"/>
    <x v="1"/>
    <s v="Computers"/>
    <s v="HP"/>
    <n v="4"/>
    <n v="53636.68"/>
    <n v="0.2"/>
    <n v="171637.38"/>
    <n v="121084.65"/>
    <n v="50552.73"/>
    <x v="3"/>
    <x v="1"/>
    <x v="2"/>
    <x v="0"/>
    <n v="2"/>
    <n v="0.29453217009022159"/>
    <s v="Jan"/>
    <n v="2026"/>
    <s v="High Value"/>
  </r>
  <r>
    <n v="22"/>
    <x v="19"/>
    <s v="C035"/>
    <s v="Yash Kapoor"/>
    <s v="Female"/>
    <n v="26"/>
    <s v="Hyderabad"/>
    <s v="Telangana"/>
    <x v="2"/>
    <s v="P011"/>
    <x v="10"/>
    <x v="0"/>
    <s v="Lighting"/>
    <s v="Wipro"/>
    <n v="1"/>
    <n v="1262.6099999999999"/>
    <n v="0.2"/>
    <n v="1010.09"/>
    <n v="827.9"/>
    <n v="182.19"/>
    <x v="3"/>
    <x v="1"/>
    <x v="0"/>
    <x v="0"/>
    <n v="1"/>
    <n v="0.18037006603371977"/>
    <s v="Jun"/>
    <n v="2026"/>
    <s v="Low Value"/>
  </r>
  <r>
    <n v="23"/>
    <x v="20"/>
    <s v="C053"/>
    <s v="Kunal Sharma"/>
    <s v="Female"/>
    <n v="24"/>
    <s v="Jaipur"/>
    <s v="Rajasthan"/>
    <x v="1"/>
    <s v="P006"/>
    <x v="7"/>
    <x v="3"/>
    <s v="Footwear"/>
    <s v="Nike"/>
    <n v="4"/>
    <n v="4800.37"/>
    <n v="0.25"/>
    <n v="14401.11"/>
    <n v="9398.2199999999993"/>
    <n v="-2823.98"/>
    <x v="1"/>
    <x v="0"/>
    <x v="2"/>
    <x v="0"/>
    <n v="6"/>
    <n v="-0.19609460659629707"/>
    <s v="Jul"/>
    <n v="2026"/>
    <s v="Medium Value"/>
  </r>
  <r>
    <n v="24"/>
    <x v="21"/>
    <s v="C041"/>
    <s v="Varun Malhotra"/>
    <s v="Female"/>
    <n v="50"/>
    <s v="Kolkata"/>
    <s v="West Bengal"/>
    <x v="3"/>
    <s v="P005"/>
    <x v="2"/>
    <x v="1"/>
    <s v="Audio"/>
    <s v="JBL"/>
    <n v="3"/>
    <n v="4016.68"/>
    <n v="0.05"/>
    <n v="11447.52"/>
    <n v="8611.14"/>
    <n v="2836.39"/>
    <x v="4"/>
    <x v="1"/>
    <x v="2"/>
    <x v="0"/>
    <n v="6"/>
    <n v="0.24777331684067813"/>
    <s v="Feb"/>
    <n v="2026"/>
    <s v="Medium Value"/>
  </r>
  <r>
    <n v="25"/>
    <x v="22"/>
    <s v="C048"/>
    <s v="Rahul Desai"/>
    <s v="Female"/>
    <n v="53"/>
    <s v="Chennai"/>
    <s v="Tamil Nadu"/>
    <x v="2"/>
    <s v="P009"/>
    <x v="0"/>
    <x v="0"/>
    <s v="Appliances"/>
    <s v="Philips"/>
    <n v="1"/>
    <n v="4953.8999999999996"/>
    <n v="0.05"/>
    <n v="4706.21"/>
    <n v="3449.21"/>
    <n v="1256.99"/>
    <x v="0"/>
    <x v="1"/>
    <x v="0"/>
    <x v="0"/>
    <n v="2"/>
    <n v="0.26709177873490558"/>
    <s v="Feb"/>
    <n v="2026"/>
    <s v="Low Value"/>
  </r>
  <r>
    <n v="26"/>
    <x v="23"/>
    <s v="C024"/>
    <s v="Siddharth Shah"/>
    <s v="Male"/>
    <n v="40"/>
    <s v="Kolkata"/>
    <s v="West Bengal"/>
    <x v="3"/>
    <s v="P002"/>
    <x v="11"/>
    <x v="1"/>
    <s v="Mobile"/>
    <s v="Samsung"/>
    <n v="3"/>
    <n v="28462.05"/>
    <n v="0.05"/>
    <n v="81116.850000000006"/>
    <n v="55414.879999999997"/>
    <n v="25701.97"/>
    <x v="1"/>
    <x v="1"/>
    <x v="1"/>
    <x v="0"/>
    <n v="3"/>
    <n v="0.31685118443332055"/>
    <s v="Mar"/>
    <n v="2026"/>
    <s v="High Value"/>
  </r>
  <r>
    <n v="27"/>
    <x v="24"/>
    <s v="C011"/>
    <s v="Manav Patel"/>
    <s v="Male"/>
    <n v="44"/>
    <s v="Bengaluru"/>
    <s v="Karnataka"/>
    <x v="2"/>
    <s v="P018"/>
    <x v="8"/>
    <x v="4"/>
    <s v="Office"/>
    <s v="Oddy"/>
    <n v="4"/>
    <n v="656.86"/>
    <n v="0.25"/>
    <n v="1970.58"/>
    <n v="1216.03"/>
    <n v="754.55"/>
    <x v="0"/>
    <x v="1"/>
    <x v="0"/>
    <x v="2"/>
    <n v="7"/>
    <n v="0.38290757035999551"/>
    <s v="Feb"/>
    <n v="2026"/>
    <s v="Low Value"/>
  </r>
  <r>
    <n v="28"/>
    <x v="25"/>
    <s v="C031"/>
    <s v="Dev Joshi"/>
    <s v="Male"/>
    <n v="47"/>
    <s v="Chennai"/>
    <s v="Tamil Nadu"/>
    <x v="2"/>
    <s v="P008"/>
    <x v="9"/>
    <x v="3"/>
    <s v="Accessories"/>
    <s v="Wildcraft"/>
    <n v="3"/>
    <n v="1677.31"/>
    <n v="0.25"/>
    <n v="3773.95"/>
    <n v="2286.8000000000002"/>
    <n v="1487.15"/>
    <x v="3"/>
    <x v="1"/>
    <x v="2"/>
    <x v="0"/>
    <n v="7"/>
    <n v="0.39405662502152922"/>
    <s v="Jun"/>
    <n v="2026"/>
    <s v="Low Value"/>
  </r>
  <r>
    <n v="29"/>
    <x v="26"/>
    <s v="C042"/>
    <s v="Arnav Verma"/>
    <s v="Female"/>
    <n v="52"/>
    <s v="Mumbai"/>
    <s v="Maharashtra"/>
    <x v="0"/>
    <s v="P007"/>
    <x v="5"/>
    <x v="3"/>
    <s v="Clothing"/>
    <s v="Puma"/>
    <n v="4"/>
    <n v="869.09"/>
    <n v="0"/>
    <n v="3476.35"/>
    <n v="2822.98"/>
    <n v="653.37"/>
    <x v="3"/>
    <x v="1"/>
    <x v="0"/>
    <x v="0"/>
    <n v="3"/>
    <n v="0.18794712845369427"/>
    <s v="Apr"/>
    <n v="2026"/>
    <s v="Low Value"/>
  </r>
  <r>
    <n v="30"/>
    <x v="27"/>
    <s v="C039"/>
    <s v="Harsh Nair"/>
    <s v="Male"/>
    <n v="42"/>
    <s v="Ahmedabad"/>
    <s v="Gujarat"/>
    <x v="0"/>
    <s v="P009"/>
    <x v="0"/>
    <x v="0"/>
    <s v="Appliances"/>
    <s v="Philips"/>
    <n v="1"/>
    <n v="5069.24"/>
    <n v="0.15"/>
    <n v="4308.8599999999997"/>
    <n v="2856.62"/>
    <n v="1452.24"/>
    <x v="2"/>
    <x v="1"/>
    <x v="0"/>
    <x v="1"/>
    <n v="4"/>
    <n v="0.3370357820862131"/>
    <s v="May"/>
    <n v="2026"/>
    <s v="Low Value"/>
  </r>
  <r>
    <n v="31"/>
    <x v="28"/>
    <s v="C024"/>
    <s v="Meera Mehta"/>
    <s v="Male"/>
    <n v="39"/>
    <s v="Chennai"/>
    <s v="Tamil Nadu"/>
    <x v="2"/>
    <s v="P001"/>
    <x v="1"/>
    <x v="1"/>
    <s v="Audio"/>
    <s v="Boat"/>
    <n v="5"/>
    <n v="2387.25"/>
    <n v="0.2"/>
    <n v="9549.01"/>
    <n v="7112.54"/>
    <n v="-1628.83"/>
    <x v="2"/>
    <x v="0"/>
    <x v="2"/>
    <x v="2"/>
    <n v="2"/>
    <n v="-0.1705757979099404"/>
    <s v="Jan"/>
    <n v="2026"/>
    <s v="Low Value"/>
  </r>
  <r>
    <n v="32"/>
    <x v="3"/>
    <s v="C009"/>
    <s v="Nisha Kapoor"/>
    <s v="Female"/>
    <n v="42"/>
    <s v="Jaipur"/>
    <s v="Rajasthan"/>
    <x v="1"/>
    <s v="P017"/>
    <x v="12"/>
    <x v="4"/>
    <s v="Office"/>
    <s v="Cello"/>
    <n v="3"/>
    <n v="186.01"/>
    <n v="0.1"/>
    <n v="502.22"/>
    <n v="339.79"/>
    <n v="162.43"/>
    <x v="1"/>
    <x v="1"/>
    <x v="1"/>
    <x v="2"/>
    <n v="5"/>
    <n v="0.32342399745131617"/>
    <s v="Mar"/>
    <n v="2026"/>
    <s v="Low Value"/>
  </r>
  <r>
    <n v="33"/>
    <x v="29"/>
    <s v="C039"/>
    <s v="Pooja Sharma"/>
    <s v="Female"/>
    <n v="47"/>
    <s v="Chennai"/>
    <s v="Tamil Nadu"/>
    <x v="2"/>
    <s v="P018"/>
    <x v="8"/>
    <x v="4"/>
    <s v="Office"/>
    <s v="Oddy"/>
    <n v="1"/>
    <n v="576.46"/>
    <n v="0.05"/>
    <n v="0"/>
    <n v="374.13"/>
    <n v="0"/>
    <x v="4"/>
    <x v="2"/>
    <x v="2"/>
    <x v="2"/>
    <n v="0"/>
    <n v="0"/>
    <s v="Jun"/>
    <n v="2026"/>
    <s v="Low Value"/>
  </r>
  <r>
    <n v="34"/>
    <x v="30"/>
    <s v="C053"/>
    <s v="Kavya Malhotra"/>
    <s v="Male"/>
    <n v="37"/>
    <s v="Kolkata"/>
    <s v="West Bengal"/>
    <x v="3"/>
    <s v="P016"/>
    <x v="13"/>
    <x v="4"/>
    <s v="Office"/>
    <s v="Classmate"/>
    <n v="2"/>
    <n v="361.12"/>
    <n v="0.1"/>
    <n v="650.02"/>
    <n v="457.42"/>
    <n v="-117.41"/>
    <x v="1"/>
    <x v="0"/>
    <x v="0"/>
    <x v="0"/>
    <n v="1"/>
    <n v="-0.18062521153195285"/>
    <s v="Apr"/>
    <n v="2026"/>
    <s v="Low Value"/>
  </r>
  <r>
    <n v="35"/>
    <x v="31"/>
    <s v="C045"/>
    <s v="Sneha Desai"/>
    <s v="Female"/>
    <n v="43"/>
    <s v="Mumbai"/>
    <s v="Maharashtra"/>
    <x v="0"/>
    <s v="P008"/>
    <x v="9"/>
    <x v="3"/>
    <s v="Accessories"/>
    <s v="Wildcraft"/>
    <n v="4"/>
    <n v="1840.06"/>
    <n v="0"/>
    <n v="7360.23"/>
    <n v="5073.41"/>
    <n v="-1344.28"/>
    <x v="1"/>
    <x v="0"/>
    <x v="0"/>
    <x v="2"/>
    <n v="6"/>
    <n v="-0.18264103159819733"/>
    <s v="Jan"/>
    <n v="2026"/>
    <s v="Low Value"/>
  </r>
  <r>
    <n v="36"/>
    <x v="32"/>
    <s v="C016"/>
    <s v="Ishita Shah"/>
    <s v="Male"/>
    <n v="47"/>
    <s v="Pune"/>
    <s v="Maharashtra"/>
    <x v="0"/>
    <s v="P014"/>
    <x v="6"/>
    <x v="2"/>
    <s v="Fragrance"/>
    <s v="Fogg"/>
    <n v="2"/>
    <n v="1122.21"/>
    <n v="0.25"/>
    <n v="1683.32"/>
    <n v="1185.58"/>
    <n v="497.74"/>
    <x v="1"/>
    <x v="1"/>
    <x v="2"/>
    <x v="2"/>
    <n v="5"/>
    <n v="0.29568947080768959"/>
    <s v="Jan"/>
    <n v="2026"/>
    <s v="Low Value"/>
  </r>
  <r>
    <n v="37"/>
    <x v="33"/>
    <s v="C056"/>
    <s v="Radhika Patel"/>
    <s v="Female"/>
    <n v="34"/>
    <s v="Hyderabad"/>
    <s v="Telangana"/>
    <x v="2"/>
    <s v="P017"/>
    <x v="12"/>
    <x v="4"/>
    <s v="Office"/>
    <s v="Cello"/>
    <n v="4"/>
    <n v="191.9"/>
    <n v="0.2"/>
    <n v="614.08000000000004"/>
    <n v="421.89"/>
    <n v="192.2"/>
    <x v="1"/>
    <x v="1"/>
    <x v="1"/>
    <x v="1"/>
    <n v="6"/>
    <n v="0.31298853569567481"/>
    <s v="Jun"/>
    <n v="2026"/>
    <s v="Low Value"/>
  </r>
  <r>
    <n v="38"/>
    <x v="34"/>
    <s v="C021"/>
    <s v="Tanvi Joshi"/>
    <s v="Male"/>
    <n v="26"/>
    <s v="Hyderabad"/>
    <s v="Telangana"/>
    <x v="2"/>
    <s v="P008"/>
    <x v="9"/>
    <x v="3"/>
    <s v="Accessories"/>
    <s v="Wildcraft"/>
    <n v="3"/>
    <n v="1778.35"/>
    <n v="0.25"/>
    <n v="4001.3"/>
    <n v="2595.14"/>
    <n v="1406.16"/>
    <x v="1"/>
    <x v="1"/>
    <x v="0"/>
    <x v="1"/>
    <n v="3"/>
    <n v="0.3514257866193487"/>
    <s v="Sep"/>
    <n v="2026"/>
    <s v="Low Value"/>
  </r>
  <r>
    <n v="39"/>
    <x v="9"/>
    <s v="C054"/>
    <s v="Simran Verma"/>
    <s v="Female"/>
    <n v="55"/>
    <s v="Delhi"/>
    <s v="Delhi"/>
    <x v="1"/>
    <s v="P003"/>
    <x v="3"/>
    <x v="1"/>
    <s v="Computers"/>
    <s v="HP"/>
    <n v="4"/>
    <n v="51039.03"/>
    <n v="0.2"/>
    <n v="163324.91"/>
    <n v="112991.74"/>
    <n v="50333.17"/>
    <x v="0"/>
    <x v="1"/>
    <x v="1"/>
    <x v="1"/>
    <n v="2"/>
    <n v="0.30817815849401048"/>
    <s v="Mar"/>
    <n v="2026"/>
    <s v="High Value"/>
  </r>
  <r>
    <n v="40"/>
    <x v="35"/>
    <s v="C058"/>
    <s v="Shruti Nair"/>
    <s v="Female"/>
    <n v="32"/>
    <s v="Mumbai"/>
    <s v="Maharashtra"/>
    <x v="0"/>
    <s v="P012"/>
    <x v="14"/>
    <x v="0"/>
    <s v="Kitchen"/>
    <s v="Prestige"/>
    <n v="3"/>
    <n v="3362.22"/>
    <n v="0.15"/>
    <n v="8573.67"/>
    <n v="6080.22"/>
    <n v="-1428.92"/>
    <x v="3"/>
    <x v="0"/>
    <x v="2"/>
    <x v="1"/>
    <n v="5"/>
    <n v="-0.16666375076250894"/>
    <s v="Sep"/>
    <n v="2026"/>
    <s v="Low Value"/>
  </r>
  <r>
    <n v="41"/>
    <x v="36"/>
    <s v="C035"/>
    <s v="Aryan Mehta"/>
    <s v="Female"/>
    <n v="55"/>
    <s v="Chennai"/>
    <s v="Tamil Nadu"/>
    <x v="2"/>
    <s v="P011"/>
    <x v="10"/>
    <x v="0"/>
    <s v="Lighting"/>
    <s v="Wipro"/>
    <n v="4"/>
    <n v="1462.77"/>
    <n v="0.15"/>
    <n v="0"/>
    <n v="3982.17"/>
    <n v="0"/>
    <x v="2"/>
    <x v="2"/>
    <x v="1"/>
    <x v="0"/>
    <n v="0"/>
    <n v="0"/>
    <s v="Jan"/>
    <n v="2026"/>
    <s v="Low Value"/>
  </r>
  <r>
    <n v="42"/>
    <x v="37"/>
    <s v="C021"/>
    <s v="Rudra Kapoor"/>
    <s v="Female"/>
    <n v="35"/>
    <s v="Chennai"/>
    <s v="Tamil Nadu"/>
    <x v="2"/>
    <s v="P005"/>
    <x v="2"/>
    <x v="1"/>
    <s v="Audio"/>
    <s v="JBL"/>
    <n v="4"/>
    <n v="3932.65"/>
    <n v="0.1"/>
    <n v="14157.55"/>
    <n v="9499.5"/>
    <n v="4658.05"/>
    <x v="4"/>
    <x v="1"/>
    <x v="2"/>
    <x v="0"/>
    <n v="4"/>
    <n v="0.32901526040875717"/>
    <s v="Feb"/>
    <n v="2026"/>
    <s v="Medium Value"/>
  </r>
  <r>
    <n v="43"/>
    <x v="38"/>
    <s v="C042"/>
    <s v="Atharv Sharma"/>
    <s v="Male"/>
    <n v="33"/>
    <s v="Mumbai"/>
    <s v="Maharashtra"/>
    <x v="0"/>
    <s v="P018"/>
    <x v="8"/>
    <x v="4"/>
    <s v="Office"/>
    <s v="Oddy"/>
    <n v="1"/>
    <n v="659.99"/>
    <n v="0.1"/>
    <n v="593.99"/>
    <n v="376.48"/>
    <n v="217.51"/>
    <x v="1"/>
    <x v="1"/>
    <x v="0"/>
    <x v="2"/>
    <n v="7"/>
    <n v="0.36618461590262458"/>
    <s v="Aug"/>
    <n v="2026"/>
    <s v="Low Value"/>
  </r>
  <r>
    <n v="44"/>
    <x v="9"/>
    <s v="C017"/>
    <s v="Krish Malhotra"/>
    <s v="Female"/>
    <n v="28"/>
    <s v="Delhi"/>
    <s v="Delhi"/>
    <x v="1"/>
    <s v="P005"/>
    <x v="2"/>
    <x v="1"/>
    <s v="Audio"/>
    <s v="JBL"/>
    <n v="4"/>
    <n v="4342.3500000000004"/>
    <n v="0.2"/>
    <n v="13895.51"/>
    <n v="11220.09"/>
    <n v="2675.42"/>
    <x v="2"/>
    <x v="1"/>
    <x v="1"/>
    <x v="2"/>
    <n v="6"/>
    <n v="0.19253845306865311"/>
    <s v="Mar"/>
    <n v="2026"/>
    <s v="Medium Value"/>
  </r>
  <r>
    <n v="45"/>
    <x v="39"/>
    <s v="C046"/>
    <s v="Ayaan Desai"/>
    <s v="Male"/>
    <n v="55"/>
    <s v="Ahmedabad"/>
    <s v="Gujarat"/>
    <x v="0"/>
    <s v="P010"/>
    <x v="15"/>
    <x v="0"/>
    <s v="Furniture"/>
    <s v="Green Soul"/>
    <n v="1"/>
    <n v="8633.76"/>
    <n v="0.1"/>
    <n v="7770.39"/>
    <n v="5580.62"/>
    <n v="2189.7600000000002"/>
    <x v="1"/>
    <x v="1"/>
    <x v="0"/>
    <x v="2"/>
    <n v="4"/>
    <n v="0.28180824900680662"/>
    <s v="Feb"/>
    <n v="2026"/>
    <s v="Low Value"/>
  </r>
  <r>
    <n v="46"/>
    <x v="29"/>
    <s v="C042"/>
    <s v="Shaurya Shah"/>
    <s v="Male"/>
    <n v="44"/>
    <s v="Lucknow"/>
    <s v="Uttar Pradesh"/>
    <x v="1"/>
    <s v="P004"/>
    <x v="16"/>
    <x v="1"/>
    <s v="Wearables"/>
    <s v="Noise"/>
    <n v="5"/>
    <n v="3697.84"/>
    <n v="0.1"/>
    <n v="16640.3"/>
    <n v="11778.98"/>
    <n v="-2359.13"/>
    <x v="4"/>
    <x v="0"/>
    <x v="0"/>
    <x v="1"/>
    <n v="5"/>
    <n v="-0.14177208343599576"/>
    <s v="Jun"/>
    <n v="2026"/>
    <s v="Medium Value"/>
  </r>
  <r>
    <n v="47"/>
    <x v="40"/>
    <s v="C052"/>
    <s v="Ved Patel"/>
    <s v="Female"/>
    <n v="47"/>
    <s v="Hyderabad"/>
    <s v="Telangana"/>
    <x v="2"/>
    <s v="P005"/>
    <x v="2"/>
    <x v="1"/>
    <s v="Audio"/>
    <s v="JBL"/>
    <n v="4"/>
    <n v="3927.96"/>
    <n v="0.2"/>
    <n v="12569.46"/>
    <n v="10202.799999999999"/>
    <n v="2366.66"/>
    <x v="4"/>
    <x v="1"/>
    <x v="1"/>
    <x v="2"/>
    <n v="5"/>
    <n v="0.18828652941335586"/>
    <s v="Jul"/>
    <n v="2026"/>
    <s v="Medium Value"/>
  </r>
  <r>
    <n v="48"/>
    <x v="6"/>
    <s v="C040"/>
    <s v="Samarth Joshi"/>
    <s v="Female"/>
    <n v="39"/>
    <s v="Bengaluru"/>
    <s v="Karnataka"/>
    <x v="2"/>
    <s v="P008"/>
    <x v="9"/>
    <x v="3"/>
    <s v="Accessories"/>
    <s v="Wildcraft"/>
    <n v="1"/>
    <n v="1720.41"/>
    <n v="0.15"/>
    <n v="1462.35"/>
    <n v="933.75"/>
    <n v="528.6"/>
    <x v="0"/>
    <x v="1"/>
    <x v="2"/>
    <x v="1"/>
    <n v="5"/>
    <n v="0.36147297158682945"/>
    <s v="May"/>
    <n v="2026"/>
    <s v="Low Value"/>
  </r>
  <r>
    <n v="49"/>
    <x v="41"/>
    <s v="C045"/>
    <s v="Adit Verma"/>
    <s v="Female"/>
    <n v="53"/>
    <s v="Hyderabad"/>
    <s v="Telangana"/>
    <x v="2"/>
    <s v="P007"/>
    <x v="5"/>
    <x v="3"/>
    <s v="Clothing"/>
    <s v="Puma"/>
    <n v="3"/>
    <n v="953.61"/>
    <n v="0.1"/>
    <n v="0"/>
    <n v="1666.16"/>
    <n v="0"/>
    <x v="0"/>
    <x v="2"/>
    <x v="1"/>
    <x v="0"/>
    <n v="0"/>
    <n v="0"/>
    <s v="Apr"/>
    <n v="2026"/>
    <s v="Low Value"/>
  </r>
  <r>
    <n v="50"/>
    <x v="42"/>
    <s v="C051"/>
    <s v="Ritvik Nair"/>
    <s v="Male"/>
    <n v="36"/>
    <s v="Delhi"/>
    <s v="Delhi"/>
    <x v="1"/>
    <s v="P014"/>
    <x v="6"/>
    <x v="2"/>
    <s v="Fragrance"/>
    <s v="Fogg"/>
    <n v="4"/>
    <n v="1213.24"/>
    <n v="0.05"/>
    <n v="4610.32"/>
    <n v="3438.13"/>
    <n v="-768.87"/>
    <x v="1"/>
    <x v="0"/>
    <x v="2"/>
    <x v="2"/>
    <n v="4"/>
    <n v="-0.16677150393031287"/>
    <s v="Feb"/>
    <n v="2026"/>
    <s v="Low Value"/>
  </r>
  <r>
    <n v="51"/>
    <x v="43"/>
    <s v="C045"/>
    <s v="Anvi Mehta"/>
    <s v="Female"/>
    <n v="37"/>
    <s v="Jaipur"/>
    <s v="Rajasthan"/>
    <x v="1"/>
    <s v="P012"/>
    <x v="14"/>
    <x v="0"/>
    <s v="Kitchen"/>
    <s v="Prestige"/>
    <n v="4"/>
    <n v="3234.22"/>
    <n v="0.1"/>
    <n v="11643.2"/>
    <n v="7942.07"/>
    <n v="-2128.87"/>
    <x v="3"/>
    <x v="0"/>
    <x v="0"/>
    <x v="0"/>
    <n v="3"/>
    <n v="-0.18284234574687369"/>
    <s v="May"/>
    <n v="2026"/>
    <s v="Medium Value"/>
  </r>
  <r>
    <n v="52"/>
    <x v="44"/>
    <s v="C031"/>
    <s v="Navya Kapoor"/>
    <s v="Female"/>
    <n v="24"/>
    <s v="Bengaluru"/>
    <s v="Karnataka"/>
    <x v="2"/>
    <s v="P004"/>
    <x v="16"/>
    <x v="1"/>
    <s v="Wearables"/>
    <s v="Noise"/>
    <n v="5"/>
    <n v="3815.61"/>
    <n v="0.25"/>
    <n v="14308.55"/>
    <n v="8934.7800000000007"/>
    <n v="5373.78"/>
    <x v="1"/>
    <x v="1"/>
    <x v="2"/>
    <x v="0"/>
    <n v="6"/>
    <n v="0.3755642605295435"/>
    <s v="Apr"/>
    <n v="2026"/>
    <s v="Medium Value"/>
  </r>
  <r>
    <n v="53"/>
    <x v="45"/>
    <s v="C019"/>
    <s v="Sia Sharma"/>
    <s v="Male"/>
    <n v="49"/>
    <s v="Ahmedabad"/>
    <s v="Gujarat"/>
    <x v="0"/>
    <s v="P010"/>
    <x v="15"/>
    <x v="0"/>
    <s v="Furniture"/>
    <s v="Green Soul"/>
    <n v="1"/>
    <n v="8853.6299999999992"/>
    <n v="0.05"/>
    <n v="8410.9500000000007"/>
    <n v="5432.08"/>
    <n v="2978.87"/>
    <x v="0"/>
    <x v="1"/>
    <x v="0"/>
    <x v="2"/>
    <n v="5"/>
    <n v="0.35416570066401531"/>
    <s v="Jul"/>
    <n v="2026"/>
    <s v="Low Value"/>
  </r>
  <r>
    <n v="54"/>
    <x v="46"/>
    <s v="C053"/>
    <s v="Mahi Malhotra"/>
    <s v="Female"/>
    <n v="49"/>
    <s v="Hyderabad"/>
    <s v="Telangana"/>
    <x v="2"/>
    <s v="P016"/>
    <x v="13"/>
    <x v="4"/>
    <s v="Office"/>
    <s v="Classmate"/>
    <n v="4"/>
    <n v="338.85"/>
    <n v="0"/>
    <n v="1355.4"/>
    <n v="868.26"/>
    <n v="487.14"/>
    <x v="0"/>
    <x v="1"/>
    <x v="1"/>
    <x v="2"/>
    <n v="1"/>
    <n v="0.35940681717574147"/>
    <s v="May"/>
    <n v="2026"/>
    <s v="Low Value"/>
  </r>
  <r>
    <n v="55"/>
    <x v="47"/>
    <s v="C049"/>
    <s v="Ishani Desai"/>
    <s v="Male"/>
    <n v="51"/>
    <s v="Ahmedabad"/>
    <s v="Gujarat"/>
    <x v="0"/>
    <s v="P005"/>
    <x v="2"/>
    <x v="1"/>
    <s v="Audio"/>
    <s v="JBL"/>
    <n v="5"/>
    <n v="4577.2700000000004"/>
    <n v="0"/>
    <n v="22886.33"/>
    <n v="18733.38"/>
    <n v="4152.95"/>
    <x v="4"/>
    <x v="1"/>
    <x v="2"/>
    <x v="1"/>
    <n v="5"/>
    <n v="0.1814598496132844"/>
    <s v="Jan"/>
    <n v="2026"/>
    <s v="Medium Value"/>
  </r>
  <r>
    <n v="56"/>
    <x v="48"/>
    <s v="C014"/>
    <s v="Prisha Shah"/>
    <s v="Male"/>
    <n v="34"/>
    <s v="Lucknow"/>
    <s v="Uttar Pradesh"/>
    <x v="1"/>
    <s v="P014"/>
    <x v="6"/>
    <x v="2"/>
    <s v="Fragrance"/>
    <s v="Fogg"/>
    <n v="3"/>
    <n v="1216.47"/>
    <n v="0"/>
    <n v="3649.41"/>
    <n v="2650.61"/>
    <n v="-349.2"/>
    <x v="0"/>
    <x v="0"/>
    <x v="0"/>
    <x v="0"/>
    <n v="7"/>
    <n v="-9.5686700041924588E-2"/>
    <s v="Jun"/>
    <n v="2026"/>
    <s v="Low Value"/>
  </r>
  <r>
    <n v="57"/>
    <x v="49"/>
    <s v="C003"/>
    <s v="Kiara Patel"/>
    <s v="Female"/>
    <n v="36"/>
    <s v="Kolkata"/>
    <s v="West Bengal"/>
    <x v="3"/>
    <s v="P003"/>
    <x v="3"/>
    <x v="1"/>
    <s v="Computers"/>
    <s v="HP"/>
    <n v="2"/>
    <n v="46827.83"/>
    <n v="0.15"/>
    <n v="79607.31"/>
    <n v="59343.19"/>
    <n v="20264.11"/>
    <x v="4"/>
    <x v="1"/>
    <x v="0"/>
    <x v="2"/>
    <n v="3"/>
    <n v="0.25455086976309088"/>
    <s v="Mar"/>
    <n v="2026"/>
    <s v="High Value"/>
  </r>
  <r>
    <n v="58"/>
    <x v="4"/>
    <s v="C010"/>
    <s v="Rhea Joshi"/>
    <s v="Male"/>
    <n v="28"/>
    <s v="Jaipur"/>
    <s v="Rajasthan"/>
    <x v="1"/>
    <s v="P007"/>
    <x v="5"/>
    <x v="3"/>
    <s v="Clothing"/>
    <s v="Puma"/>
    <n v="4"/>
    <n v="830.66"/>
    <n v="0.05"/>
    <n v="3156.51"/>
    <n v="2321.4"/>
    <n v="835.11"/>
    <x v="3"/>
    <x v="1"/>
    <x v="1"/>
    <x v="2"/>
    <n v="7"/>
    <n v="0.26456751285438662"/>
    <s v="Apr"/>
    <n v="2026"/>
    <s v="Low Value"/>
  </r>
  <r>
    <n v="59"/>
    <x v="50"/>
    <s v="C035"/>
    <s v="Aarohi Verma"/>
    <s v="Female"/>
    <n v="23"/>
    <s v="Hyderabad"/>
    <s v="Telangana"/>
    <x v="2"/>
    <s v="P004"/>
    <x v="16"/>
    <x v="1"/>
    <s v="Wearables"/>
    <s v="Noise"/>
    <n v="4"/>
    <n v="3632.07"/>
    <n v="0.25"/>
    <n v="10896.22"/>
    <n v="7372.41"/>
    <n v="3523.82"/>
    <x v="2"/>
    <x v="1"/>
    <x v="0"/>
    <x v="1"/>
    <n v="5"/>
    <n v="0.32339838953325101"/>
    <s v="May"/>
    <n v="2026"/>
    <s v="Medium Value"/>
  </r>
  <r>
    <n v="60"/>
    <x v="51"/>
    <s v="C038"/>
    <s v="Vanya Nair"/>
    <s v="Female"/>
    <n v="54"/>
    <s v="Lucknow"/>
    <s v="Uttar Pradesh"/>
    <x v="1"/>
    <s v="P009"/>
    <x v="0"/>
    <x v="0"/>
    <s v="Appliances"/>
    <s v="Philips"/>
    <n v="1"/>
    <n v="5050.46"/>
    <n v="0.25"/>
    <n v="0"/>
    <n v="2956.91"/>
    <n v="0"/>
    <x v="0"/>
    <x v="2"/>
    <x v="0"/>
    <x v="1"/>
    <n v="0"/>
    <n v="0"/>
    <s v="Jun"/>
    <n v="2026"/>
    <s v="Low Value"/>
  </r>
  <r>
    <n v="61"/>
    <x v="52"/>
    <s v="C031"/>
    <s v="Aman Mehta"/>
    <s v="Female"/>
    <n v="39"/>
    <s v="Hyderabad"/>
    <s v="Telangana"/>
    <x v="2"/>
    <s v="P009"/>
    <x v="0"/>
    <x v="0"/>
    <s v="Appliances"/>
    <s v="Philips"/>
    <n v="2"/>
    <n v="6046.64"/>
    <n v="0.15"/>
    <n v="10279.290000000001"/>
    <n v="7528.02"/>
    <n v="2751.27"/>
    <x v="3"/>
    <x v="1"/>
    <x v="1"/>
    <x v="0"/>
    <n v="1"/>
    <n v="0.26765175415811793"/>
    <s v="Sep"/>
    <n v="2026"/>
    <s v="Medium Value"/>
  </r>
  <r>
    <n v="62"/>
    <x v="53"/>
    <s v="C003"/>
    <s v="Rajat Kapoor"/>
    <s v="Male"/>
    <n v="38"/>
    <s v="Bengaluru"/>
    <s v="Karnataka"/>
    <x v="2"/>
    <s v="P014"/>
    <x v="6"/>
    <x v="2"/>
    <s v="Fragrance"/>
    <s v="Fogg"/>
    <n v="4"/>
    <n v="1149.17"/>
    <n v="0.15"/>
    <n v="0"/>
    <n v="3029.07"/>
    <n v="0"/>
    <x v="3"/>
    <x v="2"/>
    <x v="2"/>
    <x v="0"/>
    <n v="0"/>
    <n v="0"/>
    <s v="Mar"/>
    <n v="2026"/>
    <s v="Low Value"/>
  </r>
  <r>
    <n v="63"/>
    <x v="54"/>
    <s v="C049"/>
    <s v="Nikhil Sharma"/>
    <s v="Female"/>
    <n v="21"/>
    <s v="Kolkata"/>
    <s v="West Bengal"/>
    <x v="3"/>
    <s v="P001"/>
    <x v="1"/>
    <x v="1"/>
    <s v="Audio"/>
    <s v="Boat"/>
    <n v="5"/>
    <n v="2183.27"/>
    <n v="0"/>
    <n v="10916.35"/>
    <n v="6822.93"/>
    <n v="4093.41"/>
    <x v="1"/>
    <x v="1"/>
    <x v="2"/>
    <x v="2"/>
    <n v="5"/>
    <n v="0.3749797322365076"/>
    <s v="Jul"/>
    <n v="2026"/>
    <s v="Medium Value"/>
  </r>
  <r>
    <n v="64"/>
    <x v="55"/>
    <s v="C011"/>
    <s v="Mohit Malhotra"/>
    <s v="Male"/>
    <n v="53"/>
    <s v="Jaipur"/>
    <s v="Rajasthan"/>
    <x v="1"/>
    <s v="P015"/>
    <x v="17"/>
    <x v="2"/>
    <s v="Personal Care"/>
    <s v="Philips"/>
    <n v="4"/>
    <n v="2033.43"/>
    <n v="0.25"/>
    <n v="6100.28"/>
    <n v="4429.59"/>
    <n v="1670.69"/>
    <x v="4"/>
    <x v="1"/>
    <x v="0"/>
    <x v="0"/>
    <n v="6"/>
    <n v="0.27387103542788199"/>
    <s v="Mar"/>
    <n v="2026"/>
    <s v="Low Value"/>
  </r>
  <r>
    <n v="65"/>
    <x v="39"/>
    <s v="C031"/>
    <s v="Saurabh Desai"/>
    <s v="Male"/>
    <n v="47"/>
    <s v="Hyderabad"/>
    <s v="Telangana"/>
    <x v="2"/>
    <s v="P004"/>
    <x v="16"/>
    <x v="1"/>
    <s v="Wearables"/>
    <s v="Noise"/>
    <n v="2"/>
    <n v="3498.86"/>
    <n v="0.25"/>
    <n v="5248.29"/>
    <n v="3411.64"/>
    <n v="-802.09"/>
    <x v="2"/>
    <x v="0"/>
    <x v="0"/>
    <x v="1"/>
    <n v="7"/>
    <n v="-0.15282882615099394"/>
    <s v="Feb"/>
    <n v="2026"/>
    <s v="Low Value"/>
  </r>
  <r>
    <n v="66"/>
    <x v="56"/>
    <s v="C060"/>
    <s v="Abhishek Shah"/>
    <s v="Female"/>
    <n v="18"/>
    <s v="Lucknow"/>
    <s v="Uttar Pradesh"/>
    <x v="1"/>
    <s v="P017"/>
    <x v="12"/>
    <x v="4"/>
    <s v="Office"/>
    <s v="Cello"/>
    <n v="2"/>
    <n v="193.1"/>
    <n v="0.1"/>
    <n v="347.59"/>
    <n v="266.06"/>
    <n v="81.53"/>
    <x v="3"/>
    <x v="1"/>
    <x v="1"/>
    <x v="1"/>
    <n v="3"/>
    <n v="0.23455795621277944"/>
    <s v="Apr"/>
    <n v="2026"/>
    <s v="Low Value"/>
  </r>
  <r>
    <n v="67"/>
    <x v="57"/>
    <s v="C025"/>
    <s v="Akash Patel"/>
    <s v="Female"/>
    <n v="30"/>
    <s v="Ahmedabad"/>
    <s v="Gujarat"/>
    <x v="0"/>
    <s v="P015"/>
    <x v="17"/>
    <x v="2"/>
    <s v="Personal Care"/>
    <s v="Philips"/>
    <n v="5"/>
    <n v="2193.11"/>
    <n v="0.1"/>
    <n v="0"/>
    <n v="7031.27"/>
    <n v="0"/>
    <x v="1"/>
    <x v="2"/>
    <x v="1"/>
    <x v="1"/>
    <n v="0"/>
    <n v="0"/>
    <s v="Sep"/>
    <n v="2026"/>
    <s v="Low Value"/>
  </r>
  <r>
    <n v="68"/>
    <x v="4"/>
    <s v="C043"/>
    <s v="Ritesh Joshi"/>
    <s v="Male"/>
    <n v="49"/>
    <s v="Chennai"/>
    <s v="Tamil Nadu"/>
    <x v="2"/>
    <s v="P002"/>
    <x v="11"/>
    <x v="1"/>
    <s v="Mobile"/>
    <s v="Samsung"/>
    <n v="3"/>
    <n v="29370.35"/>
    <n v="0.25"/>
    <n v="66083.28"/>
    <n v="52815.3"/>
    <n v="13267.99"/>
    <x v="0"/>
    <x v="1"/>
    <x v="0"/>
    <x v="2"/>
    <n v="4"/>
    <n v="0.20077680768872247"/>
    <s v="Apr"/>
    <n v="2026"/>
    <s v="High Value"/>
  </r>
  <r>
    <n v="69"/>
    <x v="58"/>
    <s v="C056"/>
    <s v="Vikram Verma"/>
    <s v="Male"/>
    <n v="22"/>
    <s v="Pune"/>
    <s v="Maharashtra"/>
    <x v="0"/>
    <s v="P015"/>
    <x v="17"/>
    <x v="2"/>
    <s v="Personal Care"/>
    <s v="Philips"/>
    <n v="1"/>
    <n v="2211.42"/>
    <n v="0.15"/>
    <n v="1879.71"/>
    <n v="1097.1500000000001"/>
    <n v="782.55"/>
    <x v="4"/>
    <x v="1"/>
    <x v="2"/>
    <x v="1"/>
    <n v="4"/>
    <n v="0.4163142186826691"/>
    <s v="Jun"/>
    <n v="2026"/>
    <s v="Low Value"/>
  </r>
  <r>
    <n v="70"/>
    <x v="59"/>
    <s v="C035"/>
    <s v="Nitin Nair"/>
    <s v="Male"/>
    <n v="33"/>
    <s v="Pune"/>
    <s v="Maharashtra"/>
    <x v="0"/>
    <s v="P011"/>
    <x v="10"/>
    <x v="0"/>
    <s v="Lighting"/>
    <s v="Wipro"/>
    <n v="5"/>
    <n v="1366.4"/>
    <n v="0.1"/>
    <n v="6148.81"/>
    <n v="4491.29"/>
    <n v="1657.52"/>
    <x v="3"/>
    <x v="1"/>
    <x v="0"/>
    <x v="2"/>
    <n v="7"/>
    <n v="0.26956760739069835"/>
    <s v="Jul"/>
    <n v="2026"/>
    <s v="Low Value"/>
  </r>
  <r>
    <n v="71"/>
    <x v="60"/>
    <s v="C021"/>
    <s v="Shreya Mehta"/>
    <s v="Male"/>
    <n v="36"/>
    <s v="Chennai"/>
    <s v="Tamil Nadu"/>
    <x v="2"/>
    <s v="P004"/>
    <x v="16"/>
    <x v="1"/>
    <s v="Wearables"/>
    <s v="Noise"/>
    <n v="1"/>
    <n v="3460.57"/>
    <n v="0.25"/>
    <n v="2595.4299999999998"/>
    <n v="1691.89"/>
    <n v="903.54"/>
    <x v="3"/>
    <x v="1"/>
    <x v="2"/>
    <x v="1"/>
    <n v="1"/>
    <n v="0.34812728526679587"/>
    <s v="Feb"/>
    <n v="2026"/>
    <s v="Low Value"/>
  </r>
  <r>
    <n v="72"/>
    <x v="61"/>
    <s v="C056"/>
    <s v="Neha Kapoor"/>
    <s v="Male"/>
    <n v="49"/>
    <s v="Delhi"/>
    <s v="Delhi"/>
    <x v="1"/>
    <s v="P017"/>
    <x v="12"/>
    <x v="4"/>
    <s v="Office"/>
    <s v="Cello"/>
    <n v="4"/>
    <n v="182.37"/>
    <n v="0.05"/>
    <n v="693.02"/>
    <n v="430.22"/>
    <n v="262.8"/>
    <x v="2"/>
    <x v="1"/>
    <x v="0"/>
    <x v="0"/>
    <n v="5"/>
    <n v="0.37920983521399099"/>
    <s v="Mar"/>
    <n v="2026"/>
    <s v="Low Value"/>
  </r>
  <r>
    <n v="73"/>
    <x v="62"/>
    <s v="C029"/>
    <s v="Swara Sharma"/>
    <s v="Female"/>
    <n v="45"/>
    <s v="Jaipur"/>
    <s v="Rajasthan"/>
    <x v="1"/>
    <s v="P015"/>
    <x v="17"/>
    <x v="2"/>
    <s v="Personal Care"/>
    <s v="Philips"/>
    <n v="3"/>
    <n v="2273.41"/>
    <n v="0.15"/>
    <n v="5797.2"/>
    <n v="4616.25"/>
    <n v="-677.03"/>
    <x v="3"/>
    <x v="0"/>
    <x v="2"/>
    <x v="1"/>
    <n v="1"/>
    <n v="-0.11678568964327607"/>
    <s v="Aug"/>
    <n v="2026"/>
    <s v="Low Value"/>
  </r>
  <r>
    <n v="74"/>
    <x v="63"/>
    <s v="C019"/>
    <s v="Palak Malhotra"/>
    <s v="Female"/>
    <n v="35"/>
    <s v="Chennai"/>
    <s v="Tamil Nadu"/>
    <x v="2"/>
    <s v="P016"/>
    <x v="13"/>
    <x v="4"/>
    <s v="Office"/>
    <s v="Classmate"/>
    <n v="1"/>
    <n v="331.6"/>
    <n v="0.2"/>
    <n v="265.27999999999997"/>
    <n v="176.72"/>
    <n v="88.56"/>
    <x v="0"/>
    <x v="1"/>
    <x v="1"/>
    <x v="2"/>
    <n v="6"/>
    <n v="0.33383594692400487"/>
    <s v="Apr"/>
    <n v="2026"/>
    <s v="Low Value"/>
  </r>
  <r>
    <n v="75"/>
    <x v="64"/>
    <s v="C041"/>
    <s v="Muskan Desai"/>
    <s v="Female"/>
    <n v="26"/>
    <s v="Lucknow"/>
    <s v="Uttar Pradesh"/>
    <x v="1"/>
    <s v="P016"/>
    <x v="13"/>
    <x v="4"/>
    <s v="Office"/>
    <s v="Classmate"/>
    <n v="3"/>
    <n v="369.3"/>
    <n v="0.05"/>
    <n v="1052.51"/>
    <n v="763.8"/>
    <n v="288.70999999999998"/>
    <x v="0"/>
    <x v="1"/>
    <x v="1"/>
    <x v="2"/>
    <n v="2"/>
    <n v="0.27430618236406301"/>
    <s v="Jan"/>
    <n v="2026"/>
    <s v="Low Value"/>
  </r>
  <r>
    <n v="76"/>
    <x v="18"/>
    <s v="C048"/>
    <s v="Anushka Shah"/>
    <s v="Male"/>
    <n v="30"/>
    <s v="Jaipur"/>
    <s v="Rajasthan"/>
    <x v="1"/>
    <s v="P015"/>
    <x v="17"/>
    <x v="2"/>
    <s v="Personal Care"/>
    <s v="Philips"/>
    <n v="1"/>
    <n v="2235.0100000000002"/>
    <n v="0.25"/>
    <n v="1676.26"/>
    <n v="1025.0999999999999"/>
    <n v="651.16"/>
    <x v="1"/>
    <x v="1"/>
    <x v="1"/>
    <x v="1"/>
    <n v="3"/>
    <n v="0.38846002410127306"/>
    <s v="Jan"/>
    <n v="2026"/>
    <s v="Low Value"/>
  </r>
  <r>
    <n v="77"/>
    <x v="65"/>
    <s v="C056"/>
    <s v="Ishika Patel"/>
    <s v="Male"/>
    <n v="47"/>
    <s v="Jaipur"/>
    <s v="Rajasthan"/>
    <x v="1"/>
    <s v="P006"/>
    <x v="7"/>
    <x v="3"/>
    <s v="Footwear"/>
    <s v="Nike"/>
    <n v="3"/>
    <n v="4872.6400000000003"/>
    <n v="0.15"/>
    <n v="12425.24"/>
    <n v="10091.44"/>
    <n v="2333.81"/>
    <x v="0"/>
    <x v="1"/>
    <x v="0"/>
    <x v="0"/>
    <n v="6"/>
    <n v="0.18782816267532859"/>
    <s v="Sep"/>
    <n v="2026"/>
    <s v="Medium Value"/>
  </r>
  <r>
    <n v="78"/>
    <x v="59"/>
    <s v="C024"/>
    <s v="Payal Joshi"/>
    <s v="Female"/>
    <n v="55"/>
    <s v="Kolkata"/>
    <s v="West Bengal"/>
    <x v="3"/>
    <s v="P012"/>
    <x v="14"/>
    <x v="0"/>
    <s v="Kitchen"/>
    <s v="Prestige"/>
    <n v="1"/>
    <n v="3386.04"/>
    <n v="0"/>
    <n v="3386.04"/>
    <n v="2178.81"/>
    <n v="1207.22"/>
    <x v="4"/>
    <x v="1"/>
    <x v="1"/>
    <x v="1"/>
    <n v="4"/>
    <n v="0.35652857024725049"/>
    <s v="Jul"/>
    <n v="2026"/>
    <s v="Low Value"/>
  </r>
  <r>
    <n v="79"/>
    <x v="66"/>
    <s v="C015"/>
    <s v="Ritika Verma"/>
    <s v="Male"/>
    <n v="47"/>
    <s v="Delhi"/>
    <s v="Delhi"/>
    <x v="1"/>
    <s v="P016"/>
    <x v="13"/>
    <x v="4"/>
    <s v="Office"/>
    <s v="Classmate"/>
    <n v="1"/>
    <n v="358.37"/>
    <n v="0.2"/>
    <n v="0"/>
    <n v="188.85"/>
    <n v="0"/>
    <x v="3"/>
    <x v="2"/>
    <x v="1"/>
    <x v="1"/>
    <n v="0"/>
    <n v="0"/>
    <s v="Feb"/>
    <n v="2026"/>
    <s v="Low Value"/>
  </r>
  <r>
    <n v="80"/>
    <x v="67"/>
    <s v="C009"/>
    <s v="Komal Nair"/>
    <s v="Female"/>
    <n v="41"/>
    <s v="Ahmedabad"/>
    <s v="Gujarat"/>
    <x v="0"/>
    <s v="P002"/>
    <x v="11"/>
    <x v="1"/>
    <s v="Mobile"/>
    <s v="Samsung"/>
    <n v="1"/>
    <n v="26904.44"/>
    <n v="0.15"/>
    <n v="22868.78"/>
    <n v="13901.22"/>
    <n v="8967.56"/>
    <x v="2"/>
    <x v="1"/>
    <x v="2"/>
    <x v="2"/>
    <n v="5"/>
    <n v="0.39213110625053021"/>
    <s v="Mar"/>
    <n v="2026"/>
    <s v="Medium Value"/>
  </r>
  <r>
    <n v="81"/>
    <x v="68"/>
    <s v="C029"/>
    <s v="Zoya Mehta"/>
    <s v="Male"/>
    <n v="41"/>
    <s v="Chennai"/>
    <s v="Tamil Nadu"/>
    <x v="2"/>
    <s v="P004"/>
    <x v="16"/>
    <x v="1"/>
    <s v="Wearables"/>
    <s v="Noise"/>
    <n v="4"/>
    <n v="3580.96"/>
    <n v="0.1"/>
    <n v="12891.44"/>
    <n v="7578.26"/>
    <n v="5313.18"/>
    <x v="0"/>
    <x v="1"/>
    <x v="1"/>
    <x v="1"/>
    <n v="2"/>
    <n v="0.41214790589724654"/>
    <s v="Mar"/>
    <n v="2026"/>
    <s v="Medium Value"/>
  </r>
  <r>
    <n v="82"/>
    <x v="69"/>
    <s v="C043"/>
    <s v="Aisha Kapoor"/>
    <s v="Male"/>
    <n v="21"/>
    <s v="Mumbai"/>
    <s v="Maharashtra"/>
    <x v="0"/>
    <s v="P013"/>
    <x v="4"/>
    <x v="2"/>
    <s v="Skincare"/>
    <s v="Nivea"/>
    <n v="3"/>
    <n v="422.08"/>
    <n v="0"/>
    <n v="1266.25"/>
    <n v="1022.83"/>
    <n v="243.42"/>
    <x v="3"/>
    <x v="1"/>
    <x v="0"/>
    <x v="0"/>
    <n v="1"/>
    <n v="0.19223692003948667"/>
    <s v="Jul"/>
    <n v="2026"/>
    <s v="Low Value"/>
  </r>
  <r>
    <n v="83"/>
    <x v="70"/>
    <s v="C058"/>
    <s v="Alisha Sharma"/>
    <s v="Male"/>
    <n v="35"/>
    <s v="Pune"/>
    <s v="Maharashtra"/>
    <x v="0"/>
    <s v="P018"/>
    <x v="8"/>
    <x v="4"/>
    <s v="Office"/>
    <s v="Oddy"/>
    <n v="2"/>
    <n v="610.37"/>
    <n v="0.05"/>
    <n v="1159.7"/>
    <n v="764.07"/>
    <n v="395.63"/>
    <x v="1"/>
    <x v="1"/>
    <x v="0"/>
    <x v="2"/>
    <n v="7"/>
    <n v="0.34114857290678624"/>
    <s v="Apr"/>
    <n v="2026"/>
    <s v="Low Value"/>
  </r>
  <r>
    <n v="84"/>
    <x v="71"/>
    <s v="C021"/>
    <s v="Sara Malhotra"/>
    <s v="Male"/>
    <n v="34"/>
    <s v="Ahmedabad"/>
    <s v="Gujarat"/>
    <x v="0"/>
    <s v="P004"/>
    <x v="16"/>
    <x v="1"/>
    <s v="Wearables"/>
    <s v="Noise"/>
    <n v="1"/>
    <n v="3242.26"/>
    <n v="0.1"/>
    <n v="2918.04"/>
    <n v="2245.71"/>
    <n v="672.33"/>
    <x v="0"/>
    <x v="1"/>
    <x v="0"/>
    <x v="2"/>
    <n v="5"/>
    <n v="0.23040465517950406"/>
    <s v="May"/>
    <n v="2026"/>
    <s v="Low Value"/>
  </r>
  <r>
    <n v="85"/>
    <x v="72"/>
    <s v="C033"/>
    <s v="Mira Desai"/>
    <s v="Male"/>
    <n v="51"/>
    <s v="Kolkata"/>
    <s v="West Bengal"/>
    <x v="3"/>
    <s v="P004"/>
    <x v="16"/>
    <x v="1"/>
    <s v="Wearables"/>
    <s v="Noise"/>
    <n v="1"/>
    <n v="3483.37"/>
    <n v="0.1"/>
    <n v="3135.03"/>
    <n v="2204.48"/>
    <n v="930.55"/>
    <x v="3"/>
    <x v="1"/>
    <x v="2"/>
    <x v="2"/>
    <n v="4"/>
    <n v="0.29682331588533439"/>
    <s v="Aug"/>
    <n v="2026"/>
    <s v="Low Value"/>
  </r>
  <r>
    <n v="86"/>
    <x v="73"/>
    <s v="C058"/>
    <s v="Aditi Shah"/>
    <s v="Female"/>
    <n v="27"/>
    <s v="Mumbai"/>
    <s v="Maharashtra"/>
    <x v="0"/>
    <s v="P016"/>
    <x v="13"/>
    <x v="4"/>
    <s v="Office"/>
    <s v="Classmate"/>
    <n v="4"/>
    <n v="344.84"/>
    <n v="0"/>
    <n v="1379.36"/>
    <n v="962.33"/>
    <n v="417.03"/>
    <x v="0"/>
    <x v="1"/>
    <x v="0"/>
    <x v="1"/>
    <n v="1"/>
    <n v="0.30233586590882727"/>
    <s v="Jan"/>
    <n v="2026"/>
    <s v="Low Value"/>
  </r>
  <r>
    <n v="87"/>
    <x v="74"/>
    <s v="C042"/>
    <s v="Sana Patel"/>
    <s v="Male"/>
    <n v="45"/>
    <s v="Chennai"/>
    <s v="Tamil Nadu"/>
    <x v="2"/>
    <s v="P017"/>
    <x v="12"/>
    <x v="4"/>
    <s v="Office"/>
    <s v="Cello"/>
    <n v="3"/>
    <n v="178.33"/>
    <n v="0.2"/>
    <n v="428"/>
    <n v="292.43"/>
    <n v="-48.43"/>
    <x v="4"/>
    <x v="0"/>
    <x v="0"/>
    <x v="1"/>
    <n v="6"/>
    <n v="-0.11315420560747663"/>
    <s v="Jun"/>
    <n v="2026"/>
    <s v="Low Value"/>
  </r>
  <r>
    <n v="88"/>
    <x v="75"/>
    <s v="C044"/>
    <s v="Nandini Joshi"/>
    <s v="Female"/>
    <n v="22"/>
    <s v="Hyderabad"/>
    <s v="Telangana"/>
    <x v="2"/>
    <s v="P013"/>
    <x v="4"/>
    <x v="2"/>
    <s v="Skincare"/>
    <s v="Nivea"/>
    <n v="4"/>
    <n v="470.67"/>
    <n v="0.1"/>
    <n v="1694.39"/>
    <n v="1156.29"/>
    <n v="-230.01"/>
    <x v="0"/>
    <x v="0"/>
    <x v="0"/>
    <x v="0"/>
    <n v="2"/>
    <n v="-0.13574796829537472"/>
    <s v="Jun"/>
    <n v="2026"/>
    <s v="Low Value"/>
  </r>
  <r>
    <n v="89"/>
    <x v="76"/>
    <s v="C022"/>
    <s v="Roshni Verma"/>
    <s v="Male"/>
    <n v="44"/>
    <s v="Pune"/>
    <s v="Maharashtra"/>
    <x v="0"/>
    <s v="P012"/>
    <x v="14"/>
    <x v="0"/>
    <s v="Kitchen"/>
    <s v="Prestige"/>
    <n v="2"/>
    <n v="3236.08"/>
    <n v="0.2"/>
    <n v="0"/>
    <n v="4191.83"/>
    <n v="0"/>
    <x v="3"/>
    <x v="2"/>
    <x v="1"/>
    <x v="1"/>
    <n v="0"/>
    <n v="0"/>
    <s v="Aug"/>
    <n v="2026"/>
    <s v="Low Value"/>
  </r>
  <r>
    <n v="90"/>
    <x v="77"/>
    <s v="C007"/>
    <s v="Kritika Nair"/>
    <s v="Female"/>
    <n v="25"/>
    <s v="Jaipur"/>
    <s v="Rajasthan"/>
    <x v="1"/>
    <s v="P010"/>
    <x v="15"/>
    <x v="0"/>
    <s v="Furniture"/>
    <s v="Green Soul"/>
    <n v="3"/>
    <n v="7826.12"/>
    <n v="0.2"/>
    <n v="18782.689999999999"/>
    <n v="11852.95"/>
    <n v="-3749.64"/>
    <x v="3"/>
    <x v="0"/>
    <x v="1"/>
    <x v="0"/>
    <n v="7"/>
    <n v="-0.19963274696009997"/>
    <s v="Jan"/>
    <n v="2026"/>
    <s v="Medium Value"/>
  </r>
  <r>
    <n v="91"/>
    <x v="78"/>
    <s v="C012"/>
    <s v="Devansh Mehta"/>
    <s v="Female"/>
    <n v="39"/>
    <s v="Kolkata"/>
    <s v="West Bengal"/>
    <x v="3"/>
    <s v="P018"/>
    <x v="8"/>
    <x v="4"/>
    <s v="Office"/>
    <s v="Oddy"/>
    <n v="1"/>
    <n v="613.08000000000004"/>
    <n v="0.25"/>
    <n v="459.81"/>
    <n v="358.22"/>
    <n v="101.59"/>
    <x v="3"/>
    <x v="1"/>
    <x v="0"/>
    <x v="0"/>
    <n v="1"/>
    <n v="0.22093908353450339"/>
    <s v="Aug"/>
    <n v="2026"/>
    <s v="Low Value"/>
  </r>
  <r>
    <n v="92"/>
    <x v="79"/>
    <s v="C034"/>
    <s v="Kartik Kapoor"/>
    <s v="Female"/>
    <n v="44"/>
    <s v="Lucknow"/>
    <s v="Uttar Pradesh"/>
    <x v="1"/>
    <s v="P013"/>
    <x v="4"/>
    <x v="2"/>
    <s v="Skincare"/>
    <s v="Nivea"/>
    <n v="1"/>
    <n v="417.77"/>
    <n v="0.25"/>
    <n v="313.33"/>
    <n v="254.81"/>
    <n v="58.52"/>
    <x v="4"/>
    <x v="1"/>
    <x v="2"/>
    <x v="0"/>
    <n v="6"/>
    <n v="0.18676794433983343"/>
    <s v="Mar"/>
    <n v="2026"/>
    <s v="Low Value"/>
  </r>
  <r>
    <n v="93"/>
    <x v="20"/>
    <s v="C004"/>
    <s v="Parth Sharma"/>
    <s v="Male"/>
    <n v="35"/>
    <s v="Jaipur"/>
    <s v="Rajasthan"/>
    <x v="1"/>
    <s v="P011"/>
    <x v="10"/>
    <x v="0"/>
    <s v="Lighting"/>
    <s v="Wipro"/>
    <n v="5"/>
    <n v="1426.94"/>
    <n v="0"/>
    <n v="0"/>
    <n v="4404.54"/>
    <n v="0"/>
    <x v="4"/>
    <x v="2"/>
    <x v="1"/>
    <x v="1"/>
    <n v="0"/>
    <n v="0"/>
    <s v="Jul"/>
    <n v="2026"/>
    <s v="Low Value"/>
  </r>
  <r>
    <n v="94"/>
    <x v="12"/>
    <s v="C019"/>
    <s v="Om Malhotra"/>
    <s v="Female"/>
    <n v="51"/>
    <s v="Lucknow"/>
    <s v="Uttar Pradesh"/>
    <x v="1"/>
    <s v="P015"/>
    <x v="17"/>
    <x v="2"/>
    <s v="Personal Care"/>
    <s v="Philips"/>
    <n v="4"/>
    <n v="2100.19"/>
    <n v="0.2"/>
    <n v="6720.62"/>
    <n v="4081.54"/>
    <n v="2639.08"/>
    <x v="3"/>
    <x v="1"/>
    <x v="0"/>
    <x v="0"/>
    <n v="1"/>
    <n v="0.39268400832066086"/>
    <s v="Sep"/>
    <n v="2026"/>
    <s v="Low Value"/>
  </r>
  <r>
    <n v="95"/>
    <x v="80"/>
    <s v="C021"/>
    <s v="Raghav Desai"/>
    <s v="Male"/>
    <n v="49"/>
    <s v="Lucknow"/>
    <s v="Uttar Pradesh"/>
    <x v="1"/>
    <s v="P002"/>
    <x v="11"/>
    <x v="1"/>
    <s v="Mobile"/>
    <s v="Samsung"/>
    <n v="1"/>
    <n v="26344.77"/>
    <n v="0.05"/>
    <n v="25027.53"/>
    <n v="19125.14"/>
    <n v="5902.4"/>
    <x v="4"/>
    <x v="1"/>
    <x v="0"/>
    <x v="0"/>
    <n v="3"/>
    <n v="0.23583629706966688"/>
    <s v="Jul"/>
    <n v="2026"/>
    <s v="Medium Value"/>
  </r>
  <r>
    <n v="96"/>
    <x v="81"/>
    <s v="C056"/>
    <s v="Laksh Shah"/>
    <s v="Male"/>
    <n v="45"/>
    <s v="Kolkata"/>
    <s v="West Bengal"/>
    <x v="3"/>
    <s v="P008"/>
    <x v="9"/>
    <x v="3"/>
    <s v="Accessories"/>
    <s v="Wildcraft"/>
    <n v="5"/>
    <n v="1821.14"/>
    <n v="0.25"/>
    <n v="6829.28"/>
    <n v="5282.36"/>
    <n v="1546.91"/>
    <x v="0"/>
    <x v="1"/>
    <x v="2"/>
    <x v="0"/>
    <n v="4"/>
    <n v="0.22651143312325753"/>
    <s v="Jul"/>
    <n v="2026"/>
    <s v="Low Value"/>
  </r>
  <r>
    <n v="97"/>
    <x v="82"/>
    <s v="C002"/>
    <s v="Tanish Patel"/>
    <s v="Male"/>
    <n v="47"/>
    <s v="Lucknow"/>
    <s v="Uttar Pradesh"/>
    <x v="1"/>
    <s v="P014"/>
    <x v="6"/>
    <x v="2"/>
    <s v="Fragrance"/>
    <s v="Fogg"/>
    <n v="5"/>
    <n v="1177.06"/>
    <n v="0.25"/>
    <n v="4413.9799999999996"/>
    <n v="3002.6"/>
    <n v="1411.39"/>
    <x v="3"/>
    <x v="1"/>
    <x v="0"/>
    <x v="1"/>
    <n v="4"/>
    <n v="0.31975450727008281"/>
    <s v="Jun"/>
    <n v="2026"/>
    <s v="Low Value"/>
  </r>
  <r>
    <n v="98"/>
    <x v="21"/>
    <s v="C022"/>
    <s v="Yuvraj Joshi"/>
    <s v="Female"/>
    <n v="28"/>
    <s v="Delhi"/>
    <s v="Delhi"/>
    <x v="1"/>
    <s v="P014"/>
    <x v="6"/>
    <x v="2"/>
    <s v="Fragrance"/>
    <s v="Fogg"/>
    <n v="5"/>
    <n v="1176.1099999999999"/>
    <n v="0"/>
    <n v="5880.54"/>
    <n v="3969.27"/>
    <n v="1911.27"/>
    <x v="0"/>
    <x v="1"/>
    <x v="1"/>
    <x v="2"/>
    <n v="6"/>
    <n v="0.32501606995275945"/>
    <s v="Feb"/>
    <n v="2026"/>
    <s v="Low Value"/>
  </r>
  <r>
    <n v="99"/>
    <x v="39"/>
    <s v="C007"/>
    <s v="Manish Verma"/>
    <s v="Female"/>
    <n v="30"/>
    <s v="Kolkata"/>
    <s v="West Bengal"/>
    <x v="3"/>
    <s v="P017"/>
    <x v="12"/>
    <x v="4"/>
    <s v="Office"/>
    <s v="Cello"/>
    <n v="2"/>
    <n v="194.61"/>
    <n v="0.1"/>
    <n v="350.3"/>
    <n v="232.69"/>
    <n v="-83.21"/>
    <x v="1"/>
    <x v="0"/>
    <x v="1"/>
    <x v="0"/>
    <n v="2"/>
    <n v="-0.23753925206965457"/>
    <s v="Feb"/>
    <n v="2026"/>
    <s v="Low Value"/>
  </r>
  <r>
    <n v="100"/>
    <x v="83"/>
    <s v="C042"/>
    <s v="Rishi Nair"/>
    <s v="Female"/>
    <n v="38"/>
    <s v="Ahmedabad"/>
    <s v="Gujarat"/>
    <x v="0"/>
    <s v="P016"/>
    <x v="13"/>
    <x v="4"/>
    <s v="Office"/>
    <s v="Classmate"/>
    <n v="4"/>
    <n v="367.81"/>
    <n v="0.2"/>
    <n v="0"/>
    <n v="809.46"/>
    <n v="0"/>
    <x v="1"/>
    <x v="2"/>
    <x v="2"/>
    <x v="0"/>
    <n v="0"/>
    <n v="0"/>
    <s v="Feb"/>
    <n v="2026"/>
    <s v="Low Val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EA35A-3A24-4EC7-AE94-12EEC1C60BA1}" name="PivotTable1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50:B154" firstHeaderRow="1" firstDataRow="1" firstDataCol="1"/>
  <pivotFields count="30">
    <pivotField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items count="6">
        <item x="4"/>
        <item x="1"/>
        <item x="3"/>
        <item x="2"/>
        <item x="0"/>
        <item t="default"/>
      </items>
    </pivotField>
    <pivotField showAll="0">
      <items count="4">
        <item x="2"/>
        <item x="1"/>
        <item x="0"/>
        <item t="default"/>
      </items>
    </pivotField>
    <pivotField showAll="0">
      <items count="4">
        <item x="0"/>
        <item x="2"/>
        <item x="1"/>
        <item t="default"/>
      </items>
    </pivotField>
    <pivotField axis="axisRow" showAll="0">
      <items count="4">
        <item x="1"/>
        <item x="2"/>
        <item x="0"/>
        <item t="default"/>
      </items>
    </pivotField>
    <pivotField dataField="1"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3"/>
  </rowFields>
  <rowItems count="4">
    <i>
      <x/>
    </i>
    <i>
      <x v="1"/>
    </i>
    <i>
      <x v="2"/>
    </i>
    <i t="grand">
      <x/>
    </i>
  </rowItems>
  <colItems count="1">
    <i/>
  </colItems>
  <dataFields count="1">
    <dataField name="Average of Delivery_Days" fld="24"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8FA7AB-C6FB-49BD-BF13-743C5B71966A}" name="PivotTable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5:B139" firstHeaderRow="1" firstDataRow="1" firstDataCol="1"/>
  <pivotFields count="30">
    <pivotField dataField="1"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showAll="0">
      <items count="6">
        <item x="4"/>
        <item x="1"/>
        <item x="3"/>
        <item x="2"/>
        <item x="0"/>
        <item t="default"/>
      </items>
    </pivotField>
    <pivotField axis="axisRow" showAll="0">
      <items count="4">
        <item x="2"/>
        <item x="1"/>
        <item x="0"/>
        <item t="default"/>
      </items>
    </pivotField>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1"/>
  </rowFields>
  <rowItems count="4">
    <i>
      <x/>
    </i>
    <i>
      <x v="1"/>
    </i>
    <i>
      <x v="2"/>
    </i>
    <i t="grand">
      <x/>
    </i>
  </rowItems>
  <colItems count="1">
    <i/>
  </colItem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54B0EE-81BE-4800-932B-E36404B9915A}" name="PivotTable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0:B126" firstHeaderRow="1" firstDataRow="1" firstDataCol="1"/>
  <pivotFields count="30">
    <pivotField dataField="1"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showAll="0"/>
    <pivotField showAll="0"/>
    <pivotField showAll="0"/>
    <pivotField axis="axisRow" showAll="0">
      <items count="6">
        <item x="4"/>
        <item x="1"/>
        <item x="3"/>
        <item x="2"/>
        <item x="0"/>
        <item t="default"/>
      </items>
    </pivotField>
    <pivotField showAll="0">
      <items count="4">
        <item x="2"/>
        <item x="1"/>
        <item x="0"/>
        <item t="default"/>
      </items>
    </pivotField>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0"/>
  </rowFields>
  <rowItems count="6">
    <i>
      <x/>
    </i>
    <i>
      <x v="1"/>
    </i>
    <i>
      <x v="2"/>
    </i>
    <i>
      <x v="3"/>
    </i>
    <i>
      <x v="4"/>
    </i>
    <i t="grand">
      <x/>
    </i>
  </rowItems>
  <colItems count="1">
    <i/>
  </colItems>
  <dataFields count="1">
    <dataField name="Count of Order_ID" fld="0" subtotal="count" baseField="0" baseItem="0"/>
  </dataFields>
  <chartFormats count="7">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0" count="1" selected="0">
            <x v="0"/>
          </reference>
        </references>
      </pivotArea>
    </chartFormat>
    <chartFormat chart="3" format="9">
      <pivotArea type="data" outline="0" fieldPosition="0">
        <references count="2">
          <reference field="4294967294" count="1" selected="0">
            <x v="0"/>
          </reference>
          <reference field="20" count="1" selected="0">
            <x v="1"/>
          </reference>
        </references>
      </pivotArea>
    </chartFormat>
    <chartFormat chart="3" format="10">
      <pivotArea type="data" outline="0" fieldPosition="0">
        <references count="2">
          <reference field="4294967294" count="1" selected="0">
            <x v="0"/>
          </reference>
          <reference field="20" count="1" selected="0">
            <x v="2"/>
          </reference>
        </references>
      </pivotArea>
    </chartFormat>
    <chartFormat chart="3" format="11">
      <pivotArea type="data" outline="0" fieldPosition="0">
        <references count="2">
          <reference field="4294967294" count="1" selected="0">
            <x v="0"/>
          </reference>
          <reference field="20" count="1" selected="0">
            <x v="3"/>
          </reference>
        </references>
      </pivotArea>
    </chartFormat>
    <chartFormat chart="3" format="12">
      <pivotArea type="data" outline="0" fieldPosition="0">
        <references count="2">
          <reference field="4294967294" count="1" selected="0">
            <x v="0"/>
          </reference>
          <reference field="2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1A408E-9103-423A-AD1F-F4ED0A52E291}" name="PivotTable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5:C109" firstHeaderRow="0" firstDataRow="1" firstDataCol="1"/>
  <pivotFields count="30">
    <pivotField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dataField="1" showAll="0"/>
    <pivotField showAll="0"/>
    <pivotField dataField="1" showAll="0"/>
    <pivotField showAll="0">
      <items count="6">
        <item x="4"/>
        <item x="1"/>
        <item x="3"/>
        <item x="2"/>
        <item x="0"/>
        <item t="default"/>
      </items>
    </pivotField>
    <pivotField showAll="0">
      <items count="4">
        <item x="2"/>
        <item x="1"/>
        <item x="0"/>
        <item t="default"/>
      </items>
    </pivotField>
    <pivotField axis="axisRow"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22"/>
  </rowFields>
  <rowItems count="4">
    <i>
      <x/>
    </i>
    <i>
      <x v="1"/>
    </i>
    <i>
      <x v="2"/>
    </i>
    <i t="grand">
      <x/>
    </i>
  </rowItems>
  <colFields count="1">
    <field x="-2"/>
  </colFields>
  <colItems count="2">
    <i>
      <x/>
    </i>
    <i i="1">
      <x v="1"/>
    </i>
  </colItems>
  <dataFields count="2">
    <dataField name="Sum of Sales" fld="17" baseField="0" baseItem="0"/>
    <dataField name="Sum of Profit" fld="1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79015C-2465-462A-8CA0-DA9DF279A232}" name="PivotTable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_Name">
  <location ref="A90:B96" firstHeaderRow="1" firstDataRow="1" firstDataCol="1"/>
  <pivotFields count="30">
    <pivotField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showAll="0">
      <items count="5">
        <item x="3"/>
        <item x="1"/>
        <item x="2"/>
        <item x="0"/>
        <item t="default"/>
      </items>
    </pivotField>
    <pivotField showAll="0"/>
    <pivotField axis="axisRow" showAll="0" measureFilter="1" sortType="descending">
      <items count="19">
        <item x="9"/>
        <item x="2"/>
        <item x="0"/>
        <item x="14"/>
        <item x="8"/>
        <item x="4"/>
        <item x="17"/>
        <item x="3"/>
        <item x="10"/>
        <item x="13"/>
        <item x="15"/>
        <item x="12"/>
        <item x="6"/>
        <item x="7"/>
        <item x="16"/>
        <item x="11"/>
        <item x="5"/>
        <item x="1"/>
        <item t="default"/>
      </items>
      <autoSortScope>
        <pivotArea dataOnly="0" outline="0" fieldPosition="0">
          <references count="1">
            <reference field="4294967294" count="1" selected="0">
              <x v="0"/>
            </reference>
          </references>
        </pivotArea>
      </autoSortScope>
    </pivotField>
    <pivotField showAll="0">
      <items count="6">
        <item x="2"/>
        <item x="1"/>
        <item x="3"/>
        <item x="0"/>
        <item x="4"/>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1"/>
        <item x="0"/>
        <item t="default"/>
      </items>
    </pivotField>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10"/>
  </rowFields>
  <rowItems count="6">
    <i>
      <x v="7"/>
    </i>
    <i>
      <x v="15"/>
    </i>
    <i>
      <x v="1"/>
    </i>
    <i>
      <x v="14"/>
    </i>
    <i>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B56CC5-617E-488A-A854-B0C9AE62780F}" name="PivotTable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5:B80" firstHeaderRow="1" firstDataRow="1" firstDataCol="1"/>
  <pivotFields count="30">
    <pivotField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1"/>
        <item x="0"/>
        <item t="default"/>
      </items>
    </pivotField>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s>
  <rowFields count="1">
    <field x="8"/>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8DA357-D33D-48FE-8290-15191191D3C9}"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5:B65" firstHeaderRow="1" firstDataRow="1" firstDataCol="1"/>
  <pivotFields count="30">
    <pivotField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showAll="0">
      <items count="6">
        <item x="2"/>
        <item x="1"/>
        <item x="3"/>
        <item x="0"/>
        <item x="4"/>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1"/>
        <item x="0"/>
        <item t="default"/>
      </items>
    </pivotField>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9"/>
  </rowFields>
  <rowItems count="10">
    <i>
      <x v="1"/>
    </i>
    <i>
      <x v="2"/>
    </i>
    <i>
      <x v="3"/>
    </i>
    <i>
      <x v="4"/>
    </i>
    <i>
      <x v="5"/>
    </i>
    <i>
      <x v="6"/>
    </i>
    <i>
      <x v="7"/>
    </i>
    <i>
      <x v="8"/>
    </i>
    <i>
      <x v="9"/>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4BFEFC-A0D5-41EE-A011-7F614D2911DE}"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B46" firstHeaderRow="1" firstDataRow="1" firstDataCol="1"/>
  <pivotFields count="30">
    <pivotField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axis="axisRow" showAll="0">
      <items count="6">
        <item x="2"/>
        <item x="1"/>
        <item x="3"/>
        <item x="0"/>
        <item x="4"/>
        <item t="default"/>
      </items>
    </pivotField>
    <pivotField showAll="0"/>
    <pivotField showAll="0"/>
    <pivotField showAll="0"/>
    <pivotField showAll="0"/>
    <pivotField showAll="0"/>
    <pivotField showAll="0"/>
    <pivotField showAll="0"/>
    <pivotField dataField="1" showAll="0"/>
    <pivotField showAll="0">
      <items count="6">
        <item x="4"/>
        <item x="1"/>
        <item x="3"/>
        <item x="2"/>
        <item x="0"/>
        <item t="default"/>
      </items>
    </pivotField>
    <pivotField showAll="0">
      <items count="4">
        <item x="2"/>
        <item x="1"/>
        <item x="0"/>
        <item t="default"/>
      </items>
    </pivotField>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Sum of Profit" fld="19"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E252D21-9ED1-495B-AC6B-B3CEC57C3438}"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B31" firstHeaderRow="1" firstDataRow="1" firstDataCol="1"/>
  <pivotFields count="30">
    <pivotField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showAll="0">
      <items count="5">
        <item x="3"/>
        <item x="1"/>
        <item x="2"/>
        <item x="0"/>
        <item t="default"/>
      </items>
    </pivotField>
    <pivotField showAll="0"/>
    <pivotField showAll="0"/>
    <pivotField axis="axisRow" showAll="0">
      <items count="6">
        <item x="2"/>
        <item x="1"/>
        <item x="3"/>
        <item x="0"/>
        <item x="4"/>
        <item t="default"/>
      </items>
    </pivotField>
    <pivotField showAll="0"/>
    <pivotField showAll="0"/>
    <pivotField showAll="0"/>
    <pivotField showAll="0"/>
    <pivotField showAll="0"/>
    <pivotField dataField="1" showAll="0"/>
    <pivotField showAll="0"/>
    <pivotField showAll="0"/>
    <pivotField showAll="0">
      <items count="6">
        <item x="4"/>
        <item x="1"/>
        <item x="3"/>
        <item x="2"/>
        <item x="0"/>
        <item t="default"/>
      </items>
    </pivotField>
    <pivotField showAll="0">
      <items count="4">
        <item x="2"/>
        <item x="1"/>
        <item x="0"/>
        <item t="default"/>
      </items>
    </pivotField>
    <pivotField showAll="0">
      <items count="4">
        <item x="0"/>
        <item x="2"/>
        <item x="1"/>
        <item t="default"/>
      </items>
    </pivotField>
    <pivotField showAll="0">
      <items count="4">
        <item x="1"/>
        <item x="2"/>
        <item x="0"/>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11"/>
  </rowFields>
  <rowItems count="6">
    <i>
      <x/>
    </i>
    <i>
      <x v="1"/>
    </i>
    <i>
      <x v="2"/>
    </i>
    <i>
      <x v="3"/>
    </i>
    <i>
      <x v="4"/>
    </i>
    <i t="grand">
      <x/>
    </i>
  </rowItems>
  <colItems count="1">
    <i/>
  </colItems>
  <dataFields count="1">
    <dataField name="Sum of Sales" fld="17" baseField="0" baseItem="0"/>
  </dataFields>
  <chartFormats count="2">
    <chartFormat chart="3"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4914C3-F61A-46F7-85BB-C90492F1B72F}"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G16" firstHeaderRow="0" firstDataRow="1" firstDataCol="1"/>
  <pivotFields count="30">
    <pivotField dataField="1" showAll="0"/>
    <pivotField numFmtId="164" showAll="0">
      <items count="85">
        <item x="32"/>
        <item x="31"/>
        <item x="36"/>
        <item x="73"/>
        <item x="18"/>
        <item x="28"/>
        <item x="64"/>
        <item x="77"/>
        <item x="47"/>
        <item x="10"/>
        <item x="83"/>
        <item x="37"/>
        <item x="42"/>
        <item x="60"/>
        <item x="22"/>
        <item x="24"/>
        <item x="21"/>
        <item x="66"/>
        <item x="0"/>
        <item x="39"/>
        <item x="67"/>
        <item x="3"/>
        <item x="55"/>
        <item x="79"/>
        <item x="61"/>
        <item x="23"/>
        <item x="9"/>
        <item x="68"/>
        <item x="53"/>
        <item x="5"/>
        <item x="49"/>
        <item x="41"/>
        <item x="56"/>
        <item x="44"/>
        <item x="63"/>
        <item x="70"/>
        <item x="30"/>
        <item x="26"/>
        <item x="11"/>
        <item x="4"/>
        <item x="15"/>
        <item x="43"/>
        <item x="71"/>
        <item x="27"/>
        <item x="7"/>
        <item x="6"/>
        <item x="46"/>
        <item x="50"/>
        <item x="48"/>
        <item x="19"/>
        <item x="29"/>
        <item x="82"/>
        <item x="33"/>
        <item x="51"/>
        <item x="74"/>
        <item x="58"/>
        <item x="25"/>
        <item x="75"/>
        <item x="2"/>
        <item x="69"/>
        <item x="45"/>
        <item x="40"/>
        <item x="20"/>
        <item x="81"/>
        <item x="80"/>
        <item x="59"/>
        <item x="54"/>
        <item x="72"/>
        <item x="8"/>
        <item x="78"/>
        <item x="13"/>
        <item x="76"/>
        <item x="14"/>
        <item x="62"/>
        <item x="38"/>
        <item x="35"/>
        <item x="12"/>
        <item x="16"/>
        <item x="57"/>
        <item x="65"/>
        <item x="17"/>
        <item x="1"/>
        <item x="52"/>
        <item x="34"/>
        <item t="default"/>
      </items>
    </pivotField>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items count="6">
        <item x="2"/>
        <item x="1"/>
        <item x="3"/>
        <item x="0"/>
        <item x="4"/>
        <item t="default"/>
      </items>
    </pivotField>
    <pivotField showAll="0"/>
    <pivotField showAll="0"/>
    <pivotField dataField="1" showAll="0"/>
    <pivotField showAll="0"/>
    <pivotField showAll="0"/>
    <pivotField dataField="1" showAll="0"/>
    <pivotField showAll="0"/>
    <pivotField dataField="1" showAll="0"/>
    <pivotField showAll="0">
      <items count="6">
        <item x="4"/>
        <item x="1"/>
        <item x="3"/>
        <item x="2"/>
        <item x="0"/>
        <item t="default"/>
      </items>
    </pivotField>
    <pivotField showAll="0">
      <items count="4">
        <item x="2"/>
        <item x="1"/>
        <item x="0"/>
        <item t="default"/>
      </items>
    </pivotField>
    <pivotField showAll="0">
      <items count="4">
        <item x="0"/>
        <item x="2"/>
        <item x="1"/>
        <item t="default"/>
      </items>
    </pivotField>
    <pivotField showAll="0">
      <items count="4">
        <item x="1"/>
        <item x="2"/>
        <item x="0"/>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8"/>
  </rowFields>
  <rowItems count="5">
    <i>
      <x/>
    </i>
    <i>
      <x v="1"/>
    </i>
    <i>
      <x v="2"/>
    </i>
    <i>
      <x v="3"/>
    </i>
    <i t="grand">
      <x/>
    </i>
  </rowItems>
  <colFields count="1">
    <field x="-2"/>
  </colFields>
  <colItems count="6">
    <i>
      <x/>
    </i>
    <i i="1">
      <x v="1"/>
    </i>
    <i i="2">
      <x v="2"/>
    </i>
    <i i="3">
      <x v="3"/>
    </i>
    <i i="4">
      <x v="4"/>
    </i>
    <i i="5">
      <x v="5"/>
    </i>
  </colItems>
  <dataFields count="6">
    <dataField name="Total Sales" fld="17" baseField="0" baseItem="0"/>
    <dataField name="Total Profit" fld="19" baseField="0" baseItem="0"/>
    <dataField name="Total Orders" fld="0" subtotal="count" baseField="0" baseItem="0"/>
    <dataField name="Total Quantity" fld="14" baseField="0" baseItem="0"/>
    <dataField name="Average Order Value" fld="17" subtotal="average" baseField="0" baseItem="0"/>
    <dataField name="Average of Profit_Margin" fld="25" subtotal="average" showDataAs="percentOfTotal"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AB6BE6-932D-4ABB-8B43-DCF668A0463B}" sourceName="Category">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15236406">
      <items count="5">
        <i x="2" s="1"/>
        <i x="1"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2D78D3F-D9C7-48C1-BB1D-6B4D341D266A}" sourceName="Payment_Mode">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15236406">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53ACD63D-22CA-42E3-B3A5-6109E32C4F1A}" sourceName="Order_Status">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1523640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33BD892-017F-417D-A9A7-9511858F560E}" sourceName="Customer_Segment">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15236406">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Mode" xr10:uid="{BFA06757-99C3-4956-A941-C6553D108051}" sourceName="Shipping_Mode">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15236406">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F467F03-B542-43A1-B7C1-59ABC3BE9E9A}" sourceName="Region">
  <pivotTables>
    <pivotTable tabId="3" name="PivotTable6"/>
    <pivotTable tabId="3" name="PivotTable1"/>
    <pivotTable tabId="3" name="PivotTable10"/>
    <pivotTable tabId="3" name="PivotTable2"/>
    <pivotTable tabId="3" name="PivotTable3"/>
    <pivotTable tabId="3" name="PivotTable4"/>
    <pivotTable tabId="3" name="PivotTable5"/>
    <pivotTable tabId="3" name="PivotTable7"/>
    <pivotTable tabId="3" name="PivotTable8"/>
    <pivotTable tabId="3" name="PivotTable9"/>
  </pivotTables>
  <data>
    <tabular pivotCacheId="215236406">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93044F8-A1B5-4C82-ACBF-BF97CA26347C}" cache="Slicer_Category" caption="Category" rowHeight="241300"/>
  <slicer name="Payment_Mode" xr10:uid="{004ECAB9-6AC1-48BA-BC4C-E62D56A31461}" cache="Slicer_Payment_Mode" caption="Payment_Mode" rowHeight="241300"/>
  <slicer name="Order_Status" xr10:uid="{CBD4E326-CB2B-490B-8A70-020C482A3A7D}" cache="Slicer_Order_Status" caption="Order_Status" rowHeight="241300"/>
  <slicer name="Customer_Segment" xr10:uid="{6F6EA4D3-D03A-4F75-8128-67623D4F8A7D}" cache="Slicer_Customer_Segment" caption="Customer_Segment" rowHeight="241300"/>
  <slicer name="Shipping_Mode" xr10:uid="{895B693A-8170-4EC2-A4C5-696E348947BD}" cache="Slicer_Shipping_Mode" caption="Shipping_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F51AE07-43E2-45FA-A5BD-076B13C19AA0}" cache="Slicer_Category" caption="Category" rowHeight="241300"/>
  <slicer name="Payment_Mode 1" xr10:uid="{2594E917-CA87-497F-931B-3B373D3C8044}" cache="Slicer_Payment_Mode" caption="Payment_Mode" rowHeight="241300"/>
  <slicer name="Order_Status 2" xr10:uid="{39FF8BEC-61AB-4921-A05A-16593D990A00}" cache="Slicer_Order_Status" caption="Order_Status" rowHeight="241300"/>
  <slicer name="Order_Status 3" xr10:uid="{E8C9FEF7-17E9-4253-91DD-25C17F90485D}" cache="Slicer_Order_Status" caption="Order_Status" rowHeight="241300"/>
  <slicer name="Customer_Segment 3" xr10:uid="{600A9266-A7C7-456D-8D76-B9C447C2BE97}" cache="Slicer_Customer_Segment" caption="Customer_Segment" rowHeight="241300"/>
  <slicer name="Shipping_Mode 3" xr10:uid="{32D0C628-CD8E-4E68-A30C-3BC863DC03BC}" cache="Slicer_Shipping_Mode" caption="Shipping_Mode" rowHeight="241300"/>
  <slicer name="Region" xr10:uid="{22B84C34-CC94-43E6-804E-78AD0D5CC64A}"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CommerceData" displayName="ECommerceData" ref="A1:AC101">
  <autoFilter ref="A1:AC101" xr:uid="{00000000-0009-0000-0100-000001000000}"/>
  <tableColumns count="29">
    <tableColumn id="1" xr3:uid="{00000000-0010-0000-0000-000001000000}" name="Order_ID"/>
    <tableColumn id="2" xr3:uid="{00000000-0010-0000-0000-000002000000}" name="Order_Date"/>
    <tableColumn id="3" xr3:uid="{00000000-0010-0000-0000-000003000000}" name="Customer_ID"/>
    <tableColumn id="4" xr3:uid="{00000000-0010-0000-0000-000004000000}" name="Customer_Name"/>
    <tableColumn id="5" xr3:uid="{00000000-0010-0000-0000-000005000000}" name="Gender"/>
    <tableColumn id="6" xr3:uid="{00000000-0010-0000-0000-000006000000}" name="Age"/>
    <tableColumn id="7" xr3:uid="{00000000-0010-0000-0000-000007000000}" name="City"/>
    <tableColumn id="8" xr3:uid="{00000000-0010-0000-0000-000008000000}" name="State"/>
    <tableColumn id="9" xr3:uid="{00000000-0010-0000-0000-000009000000}" name="Region"/>
    <tableColumn id="10" xr3:uid="{00000000-0010-0000-0000-00000A000000}" name="Product_ID"/>
    <tableColumn id="11" xr3:uid="{00000000-0010-0000-0000-00000B000000}" name="Product_Name"/>
    <tableColumn id="12" xr3:uid="{00000000-0010-0000-0000-00000C000000}" name="Category"/>
    <tableColumn id="13" xr3:uid="{00000000-0010-0000-0000-00000D000000}" name="Sub_Category"/>
    <tableColumn id="14" xr3:uid="{00000000-0010-0000-0000-00000E000000}" name="Brand"/>
    <tableColumn id="15" xr3:uid="{00000000-0010-0000-0000-00000F000000}" name="Quantity"/>
    <tableColumn id="16" xr3:uid="{00000000-0010-0000-0000-000010000000}" name="Unit_Price"/>
    <tableColumn id="17" xr3:uid="{00000000-0010-0000-0000-000011000000}" name="Discount"/>
    <tableColumn id="18" xr3:uid="{00000000-0010-0000-0000-000012000000}" name="Sales"/>
    <tableColumn id="19" xr3:uid="{00000000-0010-0000-0000-000013000000}" name="Cost"/>
    <tableColumn id="20" xr3:uid="{00000000-0010-0000-0000-000014000000}" name="Profit"/>
    <tableColumn id="21" xr3:uid="{00000000-0010-0000-0000-000015000000}" name="Payment_Mode"/>
    <tableColumn id="22" xr3:uid="{00000000-0010-0000-0000-000016000000}" name="Order_Status"/>
    <tableColumn id="23" xr3:uid="{00000000-0010-0000-0000-000017000000}" name="Customer_Segment"/>
    <tableColumn id="24" xr3:uid="{00000000-0010-0000-0000-000018000000}" name="Shipping_Mode"/>
    <tableColumn id="25" xr3:uid="{00000000-0010-0000-0000-000019000000}" name="Delivery_Days"/>
    <tableColumn id="26" xr3:uid="{97BC5B73-69AE-402C-A766-5939A299EBA0}" name="Profit_Margin" dataDxfId="3">
      <calculatedColumnFormula>IFERROR(ECommerceData[[#This Row],[Profit]]/ECommerceData[[#This Row],[Sales]],0)</calculatedColumnFormula>
    </tableColumn>
    <tableColumn id="27" xr3:uid="{575E1B66-79B5-4891-B619-7B9641E96661}" name="Order_Month" dataDxfId="2">
      <calculatedColumnFormula>TEXT(B2,"mmm")</calculatedColumnFormula>
    </tableColumn>
    <tableColumn id="28" xr3:uid="{2DEDCBF6-F5CB-4756-9B27-EA228993025A}" name="Order_Year" dataDxfId="1">
      <calculatedColumnFormula>YEAR(B2)</calculatedColumnFormula>
    </tableColumn>
    <tableColumn id="29" xr3:uid="{9C9EC2E2-97E2-4219-8E7B-FF589B986F2C}" name="Order_Value_Category" dataDxfId="0">
      <calculatedColumnFormula>IF(ECommerceData[[#This Row],[Sales]]&gt;=50000,"High Value",IF(ECommerceData[[#This Row],[Sales]]&gt;=10000,"Medium Value","Low Value"))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01"/>
  <sheetViews>
    <sheetView zoomScale="115" zoomScaleNormal="115" workbookViewId="0">
      <pane ySplit="1" topLeftCell="A2" activePane="bottomLeft" state="frozen"/>
      <selection pane="bottomLeft" activeCell="A2" sqref="A2"/>
    </sheetView>
  </sheetViews>
  <sheetFormatPr defaultRowHeight="15" x14ac:dyDescent="0.25"/>
  <cols>
    <col min="1" max="1" width="13.5703125" bestFit="1" customWidth="1"/>
    <col min="2" max="2" width="15.85546875" bestFit="1" customWidth="1"/>
    <col min="3" max="3" width="17" bestFit="1" customWidth="1"/>
    <col min="4" max="4" width="20.5703125" bestFit="1" customWidth="1"/>
    <col min="5" max="5" width="12.28515625" bestFit="1" customWidth="1"/>
    <col min="6" max="6" width="9" bestFit="1" customWidth="1"/>
    <col min="7" max="7" width="11.7109375" bestFit="1" customWidth="1"/>
    <col min="8" max="8" width="13.140625" bestFit="1" customWidth="1"/>
    <col min="9" max="9" width="11.7109375" bestFit="1" customWidth="1"/>
    <col min="10" max="10" width="15.28515625" bestFit="1" customWidth="1"/>
    <col min="11" max="11" width="20.5703125" bestFit="1" customWidth="1"/>
    <col min="12" max="12" width="15.42578125" bestFit="1" customWidth="1"/>
    <col min="13" max="13" width="17.85546875" bestFit="1" customWidth="1"/>
    <col min="14" max="14" width="10.7109375" bestFit="1" customWidth="1"/>
    <col min="15" max="15" width="13.28515625" bestFit="1" customWidth="1"/>
    <col min="16" max="16" width="14.85546875" bestFit="1" customWidth="1"/>
    <col min="17" max="17" width="13.28515625" bestFit="1" customWidth="1"/>
    <col min="18" max="18" width="10.140625" bestFit="1" customWidth="1"/>
    <col min="19" max="19" width="10" bestFit="1" customWidth="1"/>
    <col min="20" max="20" width="10.5703125" bestFit="1" customWidth="1"/>
    <col min="21" max="21" width="19.85546875" bestFit="1" customWidth="1"/>
    <col min="22" max="22" width="17.140625" bestFit="1" customWidth="1"/>
    <col min="23" max="23" width="23.28515625" bestFit="1" customWidth="1"/>
    <col min="24" max="24" width="19.7109375" bestFit="1" customWidth="1"/>
    <col min="25" max="25" width="18.28515625" bestFit="1" customWidth="1"/>
    <col min="26" max="26" width="14.140625" customWidth="1"/>
    <col min="27" max="27" width="15.5703125" bestFit="1" customWidth="1"/>
    <col min="28" max="28" width="24.28515625" bestFit="1" customWidth="1"/>
    <col min="29" max="29" width="23.85546875" bestFit="1" customWidth="1"/>
  </cols>
  <sheetData>
    <row r="1" spans="1:29" x14ac:dyDescent="0.25">
      <c r="A1" s="3"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t="s">
        <v>283</v>
      </c>
      <c r="AA1" t="s">
        <v>284</v>
      </c>
      <c r="AB1" t="s">
        <v>285</v>
      </c>
      <c r="AC1" t="s">
        <v>286</v>
      </c>
    </row>
    <row r="2" spans="1:29" x14ac:dyDescent="0.25">
      <c r="A2">
        <v>1</v>
      </c>
      <c r="B2" s="2">
        <v>46080</v>
      </c>
      <c r="C2" t="s">
        <v>25</v>
      </c>
      <c r="D2" t="s">
        <v>26</v>
      </c>
      <c r="E2" t="s">
        <v>27</v>
      </c>
      <c r="F2">
        <v>19</v>
      </c>
      <c r="G2" t="s">
        <v>28</v>
      </c>
      <c r="H2" t="s">
        <v>29</v>
      </c>
      <c r="I2" t="s">
        <v>30</v>
      </c>
      <c r="J2" t="s">
        <v>31</v>
      </c>
      <c r="K2" t="s">
        <v>32</v>
      </c>
      <c r="L2" t="s">
        <v>33</v>
      </c>
      <c r="M2" t="s">
        <v>34</v>
      </c>
      <c r="N2" t="s">
        <v>35</v>
      </c>
      <c r="O2">
        <v>2</v>
      </c>
      <c r="P2">
        <v>5195.53</v>
      </c>
      <c r="Q2">
        <v>0.25</v>
      </c>
      <c r="R2">
        <v>7793.3</v>
      </c>
      <c r="S2">
        <v>4711.82</v>
      </c>
      <c r="T2">
        <v>-2299.06</v>
      </c>
      <c r="U2" t="s">
        <v>36</v>
      </c>
      <c r="V2" t="s">
        <v>37</v>
      </c>
      <c r="W2" t="s">
        <v>38</v>
      </c>
      <c r="X2" t="s">
        <v>39</v>
      </c>
      <c r="Y2">
        <v>1</v>
      </c>
      <c r="Z2">
        <f>IFERROR(ECommerceData[[#This Row],[Profit]]/ECommerceData[[#This Row],[Sales]],0)</f>
        <v>-0.29500468351019465</v>
      </c>
      <c r="AA2" t="str">
        <f t="shared" ref="AA2:AA33" si="0">TEXT(B2,"mmm")</f>
        <v>Feb</v>
      </c>
      <c r="AB2">
        <f t="shared" ref="AB2:AB33" si="1">YEAR(B2)</f>
        <v>2026</v>
      </c>
      <c r="AC2" s="4" t="str">
        <f>IF(ECommerceData[[#This Row],[Sales]]&gt;=50000,"High Value",IF(ECommerceData[[#This Row],[Sales]]&gt;=10000,"Medium Value","Low Value"))</f>
        <v>Low Value</v>
      </c>
    </row>
    <row r="3" spans="1:29" x14ac:dyDescent="0.25">
      <c r="A3">
        <v>2</v>
      </c>
      <c r="B3" s="2">
        <v>46281</v>
      </c>
      <c r="C3" t="s">
        <v>40</v>
      </c>
      <c r="D3" t="s">
        <v>41</v>
      </c>
      <c r="E3" t="s">
        <v>42</v>
      </c>
      <c r="F3">
        <v>18</v>
      </c>
      <c r="G3" t="s">
        <v>43</v>
      </c>
      <c r="H3" t="s">
        <v>44</v>
      </c>
      <c r="I3" t="s">
        <v>45</v>
      </c>
      <c r="J3" t="s">
        <v>46</v>
      </c>
      <c r="K3" t="s">
        <v>47</v>
      </c>
      <c r="L3" t="s">
        <v>48</v>
      </c>
      <c r="M3" t="s">
        <v>49</v>
      </c>
      <c r="N3" t="s">
        <v>50</v>
      </c>
      <c r="O3">
        <v>5</v>
      </c>
      <c r="P3">
        <v>2067.4899999999998</v>
      </c>
      <c r="Q3">
        <v>0.25</v>
      </c>
      <c r="R3">
        <v>7753.08</v>
      </c>
      <c r="S3">
        <v>5801.77</v>
      </c>
      <c r="T3">
        <v>1951.31</v>
      </c>
      <c r="U3" t="s">
        <v>51</v>
      </c>
      <c r="V3" t="s">
        <v>52</v>
      </c>
      <c r="W3" t="s">
        <v>53</v>
      </c>
      <c r="X3" t="s">
        <v>54</v>
      </c>
      <c r="Y3">
        <v>2</v>
      </c>
      <c r="Z3">
        <f>IFERROR(ECommerceData[[#This Row],[Profit]]/ECommerceData[[#This Row],[Sales]],0)</f>
        <v>0.25168191222069164</v>
      </c>
      <c r="AA3" t="str">
        <f t="shared" si="0"/>
        <v>Sep</v>
      </c>
      <c r="AB3">
        <f t="shared" si="1"/>
        <v>2026</v>
      </c>
      <c r="AC3" s="4" t="str">
        <f>IF(ECommerceData[[#This Row],[Sales]]&gt;=50000,"High Value",IF(ECommerceData[[#This Row],[Sales]]&gt;=10000,"Medium Value","Low Value"))</f>
        <v>Low Value</v>
      </c>
    </row>
    <row r="4" spans="1:29" x14ac:dyDescent="0.25">
      <c r="A4">
        <v>3</v>
      </c>
      <c r="B4" s="2">
        <v>46197</v>
      </c>
      <c r="C4" t="s">
        <v>55</v>
      </c>
      <c r="D4" t="s">
        <v>56</v>
      </c>
      <c r="E4" t="s">
        <v>42</v>
      </c>
      <c r="F4">
        <v>34</v>
      </c>
      <c r="G4" t="s">
        <v>57</v>
      </c>
      <c r="H4" t="s">
        <v>58</v>
      </c>
      <c r="I4" t="s">
        <v>45</v>
      </c>
      <c r="J4" t="s">
        <v>59</v>
      </c>
      <c r="K4" t="s">
        <v>60</v>
      </c>
      <c r="L4" t="s">
        <v>48</v>
      </c>
      <c r="M4" t="s">
        <v>49</v>
      </c>
      <c r="N4" t="s">
        <v>61</v>
      </c>
      <c r="O4">
        <v>2</v>
      </c>
      <c r="P4">
        <v>4584.0600000000004</v>
      </c>
      <c r="Q4">
        <v>0.1</v>
      </c>
      <c r="R4">
        <v>8251.31</v>
      </c>
      <c r="S4">
        <v>4988.17</v>
      </c>
      <c r="T4">
        <v>3263.14</v>
      </c>
      <c r="U4" t="s">
        <v>36</v>
      </c>
      <c r="V4" t="s">
        <v>52</v>
      </c>
      <c r="W4" t="s">
        <v>53</v>
      </c>
      <c r="X4" t="s">
        <v>54</v>
      </c>
      <c r="Y4">
        <v>1</v>
      </c>
      <c r="Z4">
        <f>IFERROR(ECommerceData[[#This Row],[Profit]]/ECommerceData[[#This Row],[Sales]],0)</f>
        <v>0.39546932547680308</v>
      </c>
      <c r="AA4" t="str">
        <f t="shared" si="0"/>
        <v>Jun</v>
      </c>
      <c r="AB4">
        <f t="shared" si="1"/>
        <v>2026</v>
      </c>
      <c r="AC4" s="4" t="str">
        <f>IF(ECommerceData[[#This Row],[Sales]]&gt;=50000,"High Value",IF(ECommerceData[[#This Row],[Sales]]&gt;=10000,"Medium Value","Low Value"))</f>
        <v>Low Value</v>
      </c>
    </row>
    <row r="5" spans="1:29" x14ac:dyDescent="0.25">
      <c r="A5">
        <v>4</v>
      </c>
      <c r="B5" s="2">
        <v>46086</v>
      </c>
      <c r="C5" t="s">
        <v>62</v>
      </c>
      <c r="D5" t="s">
        <v>63</v>
      </c>
      <c r="E5" t="s">
        <v>27</v>
      </c>
      <c r="F5">
        <v>20</v>
      </c>
      <c r="G5" t="s">
        <v>64</v>
      </c>
      <c r="H5" t="s">
        <v>65</v>
      </c>
      <c r="I5" t="s">
        <v>66</v>
      </c>
      <c r="J5" t="s">
        <v>67</v>
      </c>
      <c r="K5" t="s">
        <v>68</v>
      </c>
      <c r="L5" t="s">
        <v>48</v>
      </c>
      <c r="M5" t="s">
        <v>69</v>
      </c>
      <c r="N5" t="s">
        <v>70</v>
      </c>
      <c r="O5">
        <v>5</v>
      </c>
      <c r="P5">
        <v>49849.05</v>
      </c>
      <c r="Q5">
        <v>0.25</v>
      </c>
      <c r="R5">
        <v>186933.95</v>
      </c>
      <c r="S5">
        <v>136171.04999999999</v>
      </c>
      <c r="T5">
        <v>50762.9</v>
      </c>
      <c r="U5" t="s">
        <v>51</v>
      </c>
      <c r="V5" t="s">
        <v>52</v>
      </c>
      <c r="W5" t="s">
        <v>71</v>
      </c>
      <c r="X5" t="s">
        <v>39</v>
      </c>
      <c r="Y5">
        <v>5</v>
      </c>
      <c r="Z5">
        <f>IFERROR(ECommerceData[[#This Row],[Profit]]/ECommerceData[[#This Row],[Sales]],0)</f>
        <v>0.27155527393499146</v>
      </c>
      <c r="AA5" t="str">
        <f t="shared" si="0"/>
        <v>Mar</v>
      </c>
      <c r="AB5">
        <f t="shared" si="1"/>
        <v>2026</v>
      </c>
      <c r="AC5" s="4" t="str">
        <f>IF(ECommerceData[[#This Row],[Sales]]&gt;=50000,"High Value",IF(ECommerceData[[#This Row],[Sales]]&gt;=10000,"Medium Value","Low Value"))</f>
        <v>High Value</v>
      </c>
    </row>
    <row r="6" spans="1:29" x14ac:dyDescent="0.25">
      <c r="A6">
        <v>5</v>
      </c>
      <c r="B6" s="2">
        <v>46142</v>
      </c>
      <c r="C6" t="s">
        <v>72</v>
      </c>
      <c r="D6" t="s">
        <v>73</v>
      </c>
      <c r="E6" t="s">
        <v>27</v>
      </c>
      <c r="F6">
        <v>28</v>
      </c>
      <c r="G6" t="s">
        <v>74</v>
      </c>
      <c r="H6" t="s">
        <v>29</v>
      </c>
      <c r="I6" t="s">
        <v>30</v>
      </c>
      <c r="J6" t="s">
        <v>75</v>
      </c>
      <c r="K6" t="s">
        <v>76</v>
      </c>
      <c r="L6" t="s">
        <v>77</v>
      </c>
      <c r="M6" t="s">
        <v>78</v>
      </c>
      <c r="N6" t="s">
        <v>79</v>
      </c>
      <c r="O6">
        <v>3</v>
      </c>
      <c r="P6">
        <v>445.81</v>
      </c>
      <c r="Q6">
        <v>0.1</v>
      </c>
      <c r="R6">
        <v>1203.68</v>
      </c>
      <c r="S6">
        <v>745.12</v>
      </c>
      <c r="T6">
        <v>458.56</v>
      </c>
      <c r="U6" t="s">
        <v>80</v>
      </c>
      <c r="V6" t="s">
        <v>52</v>
      </c>
      <c r="W6" t="s">
        <v>53</v>
      </c>
      <c r="X6" t="s">
        <v>39</v>
      </c>
      <c r="Y6">
        <v>2</v>
      </c>
      <c r="Z6">
        <f>IFERROR(ECommerceData[[#This Row],[Profit]]/ECommerceData[[#This Row],[Sales]],0)</f>
        <v>0.38096504054233682</v>
      </c>
      <c r="AA6" t="str">
        <f t="shared" si="0"/>
        <v>Apr</v>
      </c>
      <c r="AB6">
        <f t="shared" si="1"/>
        <v>2026</v>
      </c>
      <c r="AC6" s="4" t="str">
        <f>IF(ECommerceData[[#This Row],[Sales]]&gt;=50000,"High Value",IF(ECommerceData[[#This Row],[Sales]]&gt;=10000,"Medium Value","Low Value"))</f>
        <v>Low Value</v>
      </c>
    </row>
    <row r="7" spans="1:29" x14ac:dyDescent="0.25">
      <c r="A7">
        <v>6</v>
      </c>
      <c r="B7" s="2">
        <v>46106</v>
      </c>
      <c r="C7" t="s">
        <v>81</v>
      </c>
      <c r="D7" t="s">
        <v>82</v>
      </c>
      <c r="E7" t="s">
        <v>27</v>
      </c>
      <c r="F7">
        <v>32</v>
      </c>
      <c r="G7" t="s">
        <v>83</v>
      </c>
      <c r="H7" t="s">
        <v>84</v>
      </c>
      <c r="I7" t="s">
        <v>66</v>
      </c>
      <c r="J7" t="s">
        <v>75</v>
      </c>
      <c r="K7" t="s">
        <v>76</v>
      </c>
      <c r="L7" t="s">
        <v>77</v>
      </c>
      <c r="M7" t="s">
        <v>78</v>
      </c>
      <c r="N7" t="s">
        <v>79</v>
      </c>
      <c r="O7">
        <v>3</v>
      </c>
      <c r="P7">
        <v>494.06</v>
      </c>
      <c r="Q7">
        <v>0.25</v>
      </c>
      <c r="R7">
        <v>1111.6300000000001</v>
      </c>
      <c r="S7">
        <v>828.34</v>
      </c>
      <c r="T7">
        <v>283.29000000000002</v>
      </c>
      <c r="U7" t="s">
        <v>36</v>
      </c>
      <c r="V7" t="s">
        <v>52</v>
      </c>
      <c r="W7" t="s">
        <v>71</v>
      </c>
      <c r="X7" t="s">
        <v>54</v>
      </c>
      <c r="Y7">
        <v>6</v>
      </c>
      <c r="Z7">
        <f>IFERROR(ECommerceData[[#This Row],[Profit]]/ECommerceData[[#This Row],[Sales]],0)</f>
        <v>0.25484198879123449</v>
      </c>
      <c r="AA7" t="str">
        <f t="shared" si="0"/>
        <v>Mar</v>
      </c>
      <c r="AB7">
        <f t="shared" si="1"/>
        <v>2026</v>
      </c>
      <c r="AC7" s="4" t="str">
        <f>IF(ECommerceData[[#This Row],[Sales]]&gt;=50000,"High Value",IF(ECommerceData[[#This Row],[Sales]]&gt;=10000,"Medium Value","Low Value"))</f>
        <v>Low Value</v>
      </c>
    </row>
    <row r="8" spans="1:29" x14ac:dyDescent="0.25">
      <c r="A8">
        <v>7</v>
      </c>
      <c r="B8" s="2">
        <v>46160</v>
      </c>
      <c r="C8" t="s">
        <v>85</v>
      </c>
      <c r="D8" t="s">
        <v>86</v>
      </c>
      <c r="E8" t="s">
        <v>42</v>
      </c>
      <c r="F8">
        <v>27</v>
      </c>
      <c r="G8" t="s">
        <v>74</v>
      </c>
      <c r="H8" t="s">
        <v>29</v>
      </c>
      <c r="I8" t="s">
        <v>30</v>
      </c>
      <c r="J8" t="s">
        <v>87</v>
      </c>
      <c r="K8" t="s">
        <v>88</v>
      </c>
      <c r="L8" t="s">
        <v>89</v>
      </c>
      <c r="M8" t="s">
        <v>90</v>
      </c>
      <c r="N8" t="s">
        <v>91</v>
      </c>
      <c r="O8">
        <v>5</v>
      </c>
      <c r="P8">
        <v>967.75</v>
      </c>
      <c r="Q8">
        <v>0.1</v>
      </c>
      <c r="R8">
        <v>4354.8599999999997</v>
      </c>
      <c r="S8">
        <v>2748.05</v>
      </c>
      <c r="T8">
        <v>1606.81</v>
      </c>
      <c r="U8" t="s">
        <v>92</v>
      </c>
      <c r="V8" t="s">
        <v>52</v>
      </c>
      <c r="W8" t="s">
        <v>38</v>
      </c>
      <c r="X8" t="s">
        <v>39</v>
      </c>
      <c r="Y8">
        <v>4</v>
      </c>
      <c r="Z8">
        <f>IFERROR(ECommerceData[[#This Row],[Profit]]/ECommerceData[[#This Row],[Sales]],0)</f>
        <v>0.36896938133487645</v>
      </c>
      <c r="AA8" t="str">
        <f t="shared" si="0"/>
        <v>May</v>
      </c>
      <c r="AB8">
        <f t="shared" si="1"/>
        <v>2026</v>
      </c>
      <c r="AC8" s="4" t="str">
        <f>IF(ECommerceData[[#This Row],[Sales]]&gt;=50000,"High Value",IF(ECommerceData[[#This Row],[Sales]]&gt;=10000,"Medium Value","Low Value"))</f>
        <v>Low Value</v>
      </c>
    </row>
    <row r="9" spans="1:29" x14ac:dyDescent="0.25">
      <c r="A9">
        <v>8</v>
      </c>
      <c r="B9" s="2">
        <v>46157</v>
      </c>
      <c r="C9" t="s">
        <v>93</v>
      </c>
      <c r="D9" t="s">
        <v>94</v>
      </c>
      <c r="E9" t="s">
        <v>27</v>
      </c>
      <c r="F9">
        <v>25</v>
      </c>
      <c r="G9" t="s">
        <v>43</v>
      </c>
      <c r="H9" t="s">
        <v>44</v>
      </c>
      <c r="I9" t="s">
        <v>45</v>
      </c>
      <c r="J9" t="s">
        <v>95</v>
      </c>
      <c r="K9" t="s">
        <v>96</v>
      </c>
      <c r="L9" t="s">
        <v>77</v>
      </c>
      <c r="M9" t="s">
        <v>97</v>
      </c>
      <c r="N9" t="s">
        <v>98</v>
      </c>
      <c r="O9">
        <v>5</v>
      </c>
      <c r="P9">
        <v>1175.8599999999999</v>
      </c>
      <c r="Q9">
        <v>0.05</v>
      </c>
      <c r="R9">
        <v>5585.32</v>
      </c>
      <c r="S9">
        <v>4576.37</v>
      </c>
      <c r="T9">
        <v>1008.94</v>
      </c>
      <c r="U9" t="s">
        <v>51</v>
      </c>
      <c r="V9" t="s">
        <v>52</v>
      </c>
      <c r="W9" t="s">
        <v>53</v>
      </c>
      <c r="X9" t="s">
        <v>39</v>
      </c>
      <c r="Y9">
        <v>5</v>
      </c>
      <c r="Z9">
        <f>IFERROR(ECommerceData[[#This Row],[Profit]]/ECommerceData[[#This Row],[Sales]],0)</f>
        <v>0.18064139565861939</v>
      </c>
      <c r="AA9" t="str">
        <f t="shared" si="0"/>
        <v>May</v>
      </c>
      <c r="AB9">
        <f t="shared" si="1"/>
        <v>2026</v>
      </c>
      <c r="AC9" s="4" t="str">
        <f>IF(ECommerceData[[#This Row],[Sales]]&gt;=50000,"High Value",IF(ECommerceData[[#This Row],[Sales]]&gt;=10000,"Medium Value","Low Value"))</f>
        <v>Low Value</v>
      </c>
    </row>
    <row r="10" spans="1:29" x14ac:dyDescent="0.25">
      <c r="A10">
        <v>9</v>
      </c>
      <c r="B10" s="2">
        <v>46239</v>
      </c>
      <c r="C10" t="s">
        <v>99</v>
      </c>
      <c r="D10" t="s">
        <v>100</v>
      </c>
      <c r="E10" t="s">
        <v>27</v>
      </c>
      <c r="F10">
        <v>52</v>
      </c>
      <c r="G10" t="s">
        <v>43</v>
      </c>
      <c r="H10" t="s">
        <v>44</v>
      </c>
      <c r="I10" t="s">
        <v>45</v>
      </c>
      <c r="J10" t="s">
        <v>67</v>
      </c>
      <c r="K10" t="s">
        <v>68</v>
      </c>
      <c r="L10" t="s">
        <v>48</v>
      </c>
      <c r="M10" t="s">
        <v>69</v>
      </c>
      <c r="N10" t="s">
        <v>70</v>
      </c>
      <c r="O10">
        <v>4</v>
      </c>
      <c r="P10">
        <v>50768.84</v>
      </c>
      <c r="Q10">
        <v>0.15</v>
      </c>
      <c r="R10">
        <v>0</v>
      </c>
      <c r="S10">
        <v>122035.97</v>
      </c>
      <c r="T10">
        <v>0</v>
      </c>
      <c r="U10" t="s">
        <v>92</v>
      </c>
      <c r="V10" t="s">
        <v>101</v>
      </c>
      <c r="W10" t="s">
        <v>53</v>
      </c>
      <c r="X10" t="s">
        <v>54</v>
      </c>
      <c r="Y10">
        <v>0</v>
      </c>
      <c r="Z10">
        <f>IFERROR(ECommerceData[[#This Row],[Profit]]/ECommerceData[[#This Row],[Sales]],0)</f>
        <v>0</v>
      </c>
      <c r="AA10" t="str">
        <f t="shared" si="0"/>
        <v>Aug</v>
      </c>
      <c r="AB10">
        <f t="shared" si="1"/>
        <v>2026</v>
      </c>
      <c r="AC10" s="4" t="str">
        <f>IF(ECommerceData[[#This Row],[Sales]]&gt;=50000,"High Value",IF(ECommerceData[[#This Row],[Sales]]&gt;=10000,"Medium Value","Low Value"))</f>
        <v>Low Value</v>
      </c>
    </row>
    <row r="11" spans="1:29" x14ac:dyDescent="0.25">
      <c r="A11">
        <v>10</v>
      </c>
      <c r="B11" s="2">
        <v>46080</v>
      </c>
      <c r="C11" t="s">
        <v>102</v>
      </c>
      <c r="D11" t="s">
        <v>103</v>
      </c>
      <c r="E11" t="s">
        <v>27</v>
      </c>
      <c r="F11">
        <v>37</v>
      </c>
      <c r="G11" t="s">
        <v>57</v>
      </c>
      <c r="H11" t="s">
        <v>58</v>
      </c>
      <c r="I11" t="s">
        <v>45</v>
      </c>
      <c r="J11" t="s">
        <v>95</v>
      </c>
      <c r="K11" t="s">
        <v>96</v>
      </c>
      <c r="L11" t="s">
        <v>77</v>
      </c>
      <c r="M11" t="s">
        <v>97</v>
      </c>
      <c r="N11" t="s">
        <v>98</v>
      </c>
      <c r="O11">
        <v>2</v>
      </c>
      <c r="P11">
        <v>1188.8900000000001</v>
      </c>
      <c r="Q11">
        <v>0.25</v>
      </c>
      <c r="R11">
        <v>1783.34</v>
      </c>
      <c r="S11">
        <v>1409.2</v>
      </c>
      <c r="T11">
        <v>374.14</v>
      </c>
      <c r="U11" t="s">
        <v>80</v>
      </c>
      <c r="V11" t="s">
        <v>52</v>
      </c>
      <c r="W11" t="s">
        <v>53</v>
      </c>
      <c r="X11" t="s">
        <v>39</v>
      </c>
      <c r="Y11">
        <v>5</v>
      </c>
      <c r="Z11">
        <f>IFERROR(ECommerceData[[#This Row],[Profit]]/ECommerceData[[#This Row],[Sales]],0)</f>
        <v>0.20979734655197552</v>
      </c>
      <c r="AA11" t="str">
        <f t="shared" si="0"/>
        <v>Feb</v>
      </c>
      <c r="AB11">
        <f t="shared" si="1"/>
        <v>2026</v>
      </c>
      <c r="AC11" s="4" t="str">
        <f>IF(ECommerceData[[#This Row],[Sales]]&gt;=50000,"High Value",IF(ECommerceData[[#This Row],[Sales]]&gt;=10000,"Medium Value","Low Value"))</f>
        <v>Low Value</v>
      </c>
    </row>
    <row r="12" spans="1:29" x14ac:dyDescent="0.25">
      <c r="A12">
        <v>11</v>
      </c>
      <c r="B12" s="2">
        <v>46101</v>
      </c>
      <c r="C12" t="s">
        <v>81</v>
      </c>
      <c r="D12" t="s">
        <v>104</v>
      </c>
      <c r="E12" t="s">
        <v>27</v>
      </c>
      <c r="F12">
        <v>25</v>
      </c>
      <c r="G12" t="s">
        <v>105</v>
      </c>
      <c r="H12" t="s">
        <v>106</v>
      </c>
      <c r="I12" t="s">
        <v>66</v>
      </c>
      <c r="J12" t="s">
        <v>107</v>
      </c>
      <c r="K12" t="s">
        <v>108</v>
      </c>
      <c r="L12" t="s">
        <v>89</v>
      </c>
      <c r="M12" t="s">
        <v>109</v>
      </c>
      <c r="N12" t="s">
        <v>110</v>
      </c>
      <c r="O12">
        <v>5</v>
      </c>
      <c r="P12">
        <v>4908.1499999999996</v>
      </c>
      <c r="Q12">
        <v>0.2</v>
      </c>
      <c r="R12">
        <v>0</v>
      </c>
      <c r="S12">
        <v>15714.69</v>
      </c>
      <c r="T12">
        <v>0</v>
      </c>
      <c r="U12" t="s">
        <v>92</v>
      </c>
      <c r="V12" t="s">
        <v>101</v>
      </c>
      <c r="W12" t="s">
        <v>71</v>
      </c>
      <c r="X12" t="s">
        <v>39</v>
      </c>
      <c r="Y12">
        <v>0</v>
      </c>
      <c r="Z12">
        <f>IFERROR(ECommerceData[[#This Row],[Profit]]/ECommerceData[[#This Row],[Sales]],0)</f>
        <v>0</v>
      </c>
      <c r="AA12" t="str">
        <f t="shared" si="0"/>
        <v>Mar</v>
      </c>
      <c r="AB12">
        <f t="shared" si="1"/>
        <v>2026</v>
      </c>
      <c r="AC12" s="4" t="str">
        <f>IF(ECommerceData[[#This Row],[Sales]]&gt;=50000,"High Value",IF(ECommerceData[[#This Row],[Sales]]&gt;=10000,"Medium Value","Low Value"))</f>
        <v>Low Value</v>
      </c>
    </row>
    <row r="13" spans="1:29" x14ac:dyDescent="0.25">
      <c r="A13">
        <v>12</v>
      </c>
      <c r="B13" s="2">
        <v>46052</v>
      </c>
      <c r="C13" t="s">
        <v>111</v>
      </c>
      <c r="D13" t="s">
        <v>112</v>
      </c>
      <c r="E13" t="s">
        <v>27</v>
      </c>
      <c r="F13">
        <v>48</v>
      </c>
      <c r="G13" t="s">
        <v>113</v>
      </c>
      <c r="H13" t="s">
        <v>113</v>
      </c>
      <c r="I13" t="s">
        <v>45</v>
      </c>
      <c r="J13" t="s">
        <v>67</v>
      </c>
      <c r="K13" t="s">
        <v>68</v>
      </c>
      <c r="L13" t="s">
        <v>48</v>
      </c>
      <c r="M13" t="s">
        <v>69</v>
      </c>
      <c r="N13" t="s">
        <v>70</v>
      </c>
      <c r="O13">
        <v>1</v>
      </c>
      <c r="P13">
        <v>54411.839999999997</v>
      </c>
      <c r="Q13">
        <v>0</v>
      </c>
      <c r="R13">
        <v>0</v>
      </c>
      <c r="S13">
        <v>44330.21</v>
      </c>
      <c r="T13">
        <v>0</v>
      </c>
      <c r="U13" t="s">
        <v>80</v>
      </c>
      <c r="V13" t="s">
        <v>101</v>
      </c>
      <c r="W13" t="s">
        <v>38</v>
      </c>
      <c r="X13" t="s">
        <v>54</v>
      </c>
      <c r="Y13">
        <v>0</v>
      </c>
      <c r="Z13">
        <f>IFERROR(ECommerceData[[#This Row],[Profit]]/ECommerceData[[#This Row],[Sales]],0)</f>
        <v>0</v>
      </c>
      <c r="AA13" t="str">
        <f t="shared" si="0"/>
        <v>Jan</v>
      </c>
      <c r="AB13">
        <f t="shared" si="1"/>
        <v>2026</v>
      </c>
      <c r="AC13" s="4" t="str">
        <f>IF(ECommerceData[[#This Row],[Sales]]&gt;=50000,"High Value",IF(ECommerceData[[#This Row],[Sales]]&gt;=10000,"Medium Value","Low Value"))</f>
        <v>Low Value</v>
      </c>
    </row>
    <row r="14" spans="1:29" x14ac:dyDescent="0.25">
      <c r="A14">
        <v>13</v>
      </c>
      <c r="B14" s="2">
        <v>46239</v>
      </c>
      <c r="C14" t="s">
        <v>40</v>
      </c>
      <c r="D14" t="s">
        <v>114</v>
      </c>
      <c r="E14" t="s">
        <v>27</v>
      </c>
      <c r="F14">
        <v>32</v>
      </c>
      <c r="G14" t="s">
        <v>113</v>
      </c>
      <c r="H14" t="s">
        <v>113</v>
      </c>
      <c r="I14" t="s">
        <v>45</v>
      </c>
      <c r="J14" t="s">
        <v>115</v>
      </c>
      <c r="K14" t="s">
        <v>116</v>
      </c>
      <c r="L14" t="s">
        <v>117</v>
      </c>
      <c r="M14" t="s">
        <v>118</v>
      </c>
      <c r="N14" t="s">
        <v>119</v>
      </c>
      <c r="O14">
        <v>2</v>
      </c>
      <c r="P14">
        <v>625.54999999999995</v>
      </c>
      <c r="Q14">
        <v>0.15</v>
      </c>
      <c r="R14">
        <v>1063.44</v>
      </c>
      <c r="S14">
        <v>870.78</v>
      </c>
      <c r="T14">
        <v>-93.77</v>
      </c>
      <c r="U14" t="s">
        <v>36</v>
      </c>
      <c r="V14" t="s">
        <v>37</v>
      </c>
      <c r="W14" t="s">
        <v>71</v>
      </c>
      <c r="X14" t="s">
        <v>39</v>
      </c>
      <c r="Y14">
        <v>5</v>
      </c>
      <c r="Z14">
        <f>IFERROR(ECommerceData[[#This Row],[Profit]]/ECommerceData[[#This Row],[Sales]],0)</f>
        <v>-8.8176107725870756E-2</v>
      </c>
      <c r="AA14" t="str">
        <f t="shared" si="0"/>
        <v>Aug</v>
      </c>
      <c r="AB14">
        <f t="shared" si="1"/>
        <v>2026</v>
      </c>
      <c r="AC14" s="4" t="str">
        <f>IF(ECommerceData[[#This Row],[Sales]]&gt;=50000,"High Value",IF(ECommerceData[[#This Row],[Sales]]&gt;=10000,"Medium Value","Low Value"))</f>
        <v>Low Value</v>
      </c>
    </row>
    <row r="15" spans="1:29" x14ac:dyDescent="0.25">
      <c r="A15">
        <v>14</v>
      </c>
      <c r="B15" s="2">
        <v>46140</v>
      </c>
      <c r="C15" t="s">
        <v>99</v>
      </c>
      <c r="D15" t="s">
        <v>120</v>
      </c>
      <c r="E15" t="s">
        <v>27</v>
      </c>
      <c r="F15">
        <v>50</v>
      </c>
      <c r="G15" t="s">
        <v>43</v>
      </c>
      <c r="H15" t="s">
        <v>44</v>
      </c>
      <c r="I15" t="s">
        <v>45</v>
      </c>
      <c r="J15" t="s">
        <v>121</v>
      </c>
      <c r="K15" t="s">
        <v>122</v>
      </c>
      <c r="L15" t="s">
        <v>89</v>
      </c>
      <c r="M15" t="s">
        <v>123</v>
      </c>
      <c r="N15" t="s">
        <v>124</v>
      </c>
      <c r="O15">
        <v>1</v>
      </c>
      <c r="P15">
        <v>1645.56</v>
      </c>
      <c r="Q15">
        <v>0.25</v>
      </c>
      <c r="R15">
        <v>1234.17</v>
      </c>
      <c r="S15">
        <v>733.26</v>
      </c>
      <c r="T15">
        <v>500.91</v>
      </c>
      <c r="U15" t="s">
        <v>51</v>
      </c>
      <c r="V15" t="s">
        <v>52</v>
      </c>
      <c r="W15" t="s">
        <v>71</v>
      </c>
      <c r="X15" t="s">
        <v>125</v>
      </c>
      <c r="Y15">
        <v>1</v>
      </c>
      <c r="Z15">
        <f>IFERROR(ECommerceData[[#This Row],[Profit]]/ECommerceData[[#This Row],[Sales]],0)</f>
        <v>0.4058679112277887</v>
      </c>
      <c r="AA15" t="str">
        <f t="shared" si="0"/>
        <v>Apr</v>
      </c>
      <c r="AB15">
        <f t="shared" si="1"/>
        <v>2026</v>
      </c>
      <c r="AC15" s="4" t="str">
        <f>IF(ECommerceData[[#This Row],[Sales]]&gt;=50000,"High Value",IF(ECommerceData[[#This Row],[Sales]]&gt;=10000,"Medium Value","Low Value"))</f>
        <v>Low Value</v>
      </c>
    </row>
    <row r="16" spans="1:29" x14ac:dyDescent="0.25">
      <c r="A16">
        <v>15</v>
      </c>
      <c r="B16" s="2">
        <v>46271</v>
      </c>
      <c r="C16" t="s">
        <v>126</v>
      </c>
      <c r="D16" t="s">
        <v>127</v>
      </c>
      <c r="E16" t="s">
        <v>42</v>
      </c>
      <c r="F16">
        <v>30</v>
      </c>
      <c r="G16" t="s">
        <v>113</v>
      </c>
      <c r="H16" t="s">
        <v>113</v>
      </c>
      <c r="I16" t="s">
        <v>45</v>
      </c>
      <c r="J16" t="s">
        <v>115</v>
      </c>
      <c r="K16" t="s">
        <v>116</v>
      </c>
      <c r="L16" t="s">
        <v>117</v>
      </c>
      <c r="M16" t="s">
        <v>118</v>
      </c>
      <c r="N16" t="s">
        <v>119</v>
      </c>
      <c r="O16">
        <v>2</v>
      </c>
      <c r="P16">
        <v>626.79999999999995</v>
      </c>
      <c r="Q16">
        <v>0.2</v>
      </c>
      <c r="R16">
        <v>1002.88</v>
      </c>
      <c r="S16">
        <v>720.36</v>
      </c>
      <c r="T16">
        <v>282.52</v>
      </c>
      <c r="U16" t="s">
        <v>36</v>
      </c>
      <c r="V16" t="s">
        <v>52</v>
      </c>
      <c r="W16" t="s">
        <v>38</v>
      </c>
      <c r="X16" t="s">
        <v>125</v>
      </c>
      <c r="Y16">
        <v>7</v>
      </c>
      <c r="Z16">
        <f>IFERROR(ECommerceData[[#This Row],[Profit]]/ECommerceData[[#This Row],[Sales]],0)</f>
        <v>0.28170867900446711</v>
      </c>
      <c r="AA16" t="str">
        <f t="shared" si="0"/>
        <v>Sep</v>
      </c>
      <c r="AB16">
        <f t="shared" si="1"/>
        <v>2026</v>
      </c>
      <c r="AC16" s="4" t="str">
        <f>IF(ECommerceData[[#This Row],[Sales]]&gt;=50000,"High Value",IF(ECommerceData[[#This Row],[Sales]]&gt;=10000,"Medium Value","Low Value"))</f>
        <v>Low Value</v>
      </c>
    </row>
    <row r="17" spans="1:29" x14ac:dyDescent="0.25">
      <c r="A17">
        <v>16</v>
      </c>
      <c r="B17" s="2">
        <v>46243</v>
      </c>
      <c r="C17" t="s">
        <v>128</v>
      </c>
      <c r="D17" t="s">
        <v>129</v>
      </c>
      <c r="E17" t="s">
        <v>42</v>
      </c>
      <c r="F17">
        <v>24</v>
      </c>
      <c r="G17" t="s">
        <v>105</v>
      </c>
      <c r="H17" t="s">
        <v>106</v>
      </c>
      <c r="I17" t="s">
        <v>66</v>
      </c>
      <c r="J17" t="s">
        <v>95</v>
      </c>
      <c r="K17" t="s">
        <v>96</v>
      </c>
      <c r="L17" t="s">
        <v>77</v>
      </c>
      <c r="M17" t="s">
        <v>97</v>
      </c>
      <c r="N17" t="s">
        <v>98</v>
      </c>
      <c r="O17">
        <v>4</v>
      </c>
      <c r="P17">
        <v>1192.0899999999999</v>
      </c>
      <c r="Q17">
        <v>0.25</v>
      </c>
      <c r="R17">
        <v>3576.26</v>
      </c>
      <c r="S17">
        <v>2120.7199999999998</v>
      </c>
      <c r="T17">
        <v>-1152.9000000000001</v>
      </c>
      <c r="U17" t="s">
        <v>51</v>
      </c>
      <c r="V17" t="s">
        <v>37</v>
      </c>
      <c r="W17" t="s">
        <v>38</v>
      </c>
      <c r="X17" t="s">
        <v>39</v>
      </c>
      <c r="Y17">
        <v>1</v>
      </c>
      <c r="Z17">
        <f>IFERROR(ECommerceData[[#This Row],[Profit]]/ECommerceData[[#This Row],[Sales]],0)</f>
        <v>-0.32237588989614852</v>
      </c>
      <c r="AA17" t="str">
        <f t="shared" si="0"/>
        <v>Aug</v>
      </c>
      <c r="AB17">
        <f t="shared" si="1"/>
        <v>2026</v>
      </c>
      <c r="AC17" s="4" t="str">
        <f>IF(ECommerceData[[#This Row],[Sales]]&gt;=50000,"High Value",IF(ECommerceData[[#This Row],[Sales]]&gt;=10000,"Medium Value","Low Value"))</f>
        <v>Low Value</v>
      </c>
    </row>
    <row r="18" spans="1:29" x14ac:dyDescent="0.25">
      <c r="A18">
        <v>17</v>
      </c>
      <c r="B18" s="2">
        <v>46252</v>
      </c>
      <c r="C18" t="s">
        <v>130</v>
      </c>
      <c r="D18" t="s">
        <v>131</v>
      </c>
      <c r="E18" t="s">
        <v>27</v>
      </c>
      <c r="F18">
        <v>21</v>
      </c>
      <c r="G18" t="s">
        <v>132</v>
      </c>
      <c r="H18" t="s">
        <v>133</v>
      </c>
      <c r="I18" t="s">
        <v>30</v>
      </c>
      <c r="J18" t="s">
        <v>95</v>
      </c>
      <c r="K18" t="s">
        <v>96</v>
      </c>
      <c r="L18" t="s">
        <v>77</v>
      </c>
      <c r="M18" t="s">
        <v>97</v>
      </c>
      <c r="N18" t="s">
        <v>98</v>
      </c>
      <c r="O18">
        <v>2</v>
      </c>
      <c r="P18">
        <v>1146.8499999999999</v>
      </c>
      <c r="Q18">
        <v>0.05</v>
      </c>
      <c r="R18">
        <v>2179.02</v>
      </c>
      <c r="S18">
        <v>1721.15</v>
      </c>
      <c r="T18">
        <v>457.86</v>
      </c>
      <c r="U18" t="s">
        <v>80</v>
      </c>
      <c r="V18" t="s">
        <v>52</v>
      </c>
      <c r="W18" t="s">
        <v>38</v>
      </c>
      <c r="X18" t="s">
        <v>39</v>
      </c>
      <c r="Y18">
        <v>4</v>
      </c>
      <c r="Z18">
        <f>IFERROR(ECommerceData[[#This Row],[Profit]]/ECommerceData[[#This Row],[Sales]],0)</f>
        <v>0.21012198144119834</v>
      </c>
      <c r="AA18" t="str">
        <f t="shared" si="0"/>
        <v>Aug</v>
      </c>
      <c r="AB18">
        <f t="shared" si="1"/>
        <v>2026</v>
      </c>
      <c r="AC18" s="4" t="str">
        <f>IF(ECommerceData[[#This Row],[Sales]]&gt;=50000,"High Value",IF(ECommerceData[[#This Row],[Sales]]&gt;=10000,"Medium Value","Low Value"))</f>
        <v>Low Value</v>
      </c>
    </row>
    <row r="19" spans="1:29" x14ac:dyDescent="0.25">
      <c r="A19">
        <v>18</v>
      </c>
      <c r="B19" s="2">
        <v>46144</v>
      </c>
      <c r="C19" t="s">
        <v>134</v>
      </c>
      <c r="D19" t="s">
        <v>135</v>
      </c>
      <c r="E19" t="s">
        <v>42</v>
      </c>
      <c r="F19">
        <v>47</v>
      </c>
      <c r="G19" t="s">
        <v>132</v>
      </c>
      <c r="H19" t="s">
        <v>133</v>
      </c>
      <c r="I19" t="s">
        <v>30</v>
      </c>
      <c r="J19" t="s">
        <v>95</v>
      </c>
      <c r="K19" t="s">
        <v>96</v>
      </c>
      <c r="L19" t="s">
        <v>77</v>
      </c>
      <c r="M19" t="s">
        <v>97</v>
      </c>
      <c r="N19" t="s">
        <v>98</v>
      </c>
      <c r="O19">
        <v>4</v>
      </c>
      <c r="P19">
        <v>1195.53</v>
      </c>
      <c r="Q19">
        <v>0.15</v>
      </c>
      <c r="R19">
        <v>4064.79</v>
      </c>
      <c r="S19">
        <v>3237.95</v>
      </c>
      <c r="T19">
        <v>826.83</v>
      </c>
      <c r="U19" t="s">
        <v>92</v>
      </c>
      <c r="V19" t="s">
        <v>52</v>
      </c>
      <c r="W19" t="s">
        <v>71</v>
      </c>
      <c r="X19" t="s">
        <v>125</v>
      </c>
      <c r="Y19">
        <v>4</v>
      </c>
      <c r="Z19">
        <f>IFERROR(ECommerceData[[#This Row],[Profit]]/ECommerceData[[#This Row],[Sales]],0)</f>
        <v>0.20341272242846495</v>
      </c>
      <c r="AA19" t="str">
        <f t="shared" si="0"/>
        <v>May</v>
      </c>
      <c r="AB19">
        <f t="shared" si="1"/>
        <v>2026</v>
      </c>
      <c r="AC19" s="4" t="str">
        <f>IF(ECommerceData[[#This Row],[Sales]]&gt;=50000,"High Value",IF(ECommerceData[[#This Row],[Sales]]&gt;=10000,"Medium Value","Low Value"))</f>
        <v>Low Value</v>
      </c>
    </row>
    <row r="20" spans="1:29" x14ac:dyDescent="0.25">
      <c r="A20">
        <v>19</v>
      </c>
      <c r="B20" s="2">
        <v>46272</v>
      </c>
      <c r="C20" t="s">
        <v>128</v>
      </c>
      <c r="D20" t="s">
        <v>136</v>
      </c>
      <c r="E20" t="s">
        <v>42</v>
      </c>
      <c r="F20">
        <v>21</v>
      </c>
      <c r="G20" t="s">
        <v>132</v>
      </c>
      <c r="H20" t="s">
        <v>133</v>
      </c>
      <c r="I20" t="s">
        <v>30</v>
      </c>
      <c r="J20" t="s">
        <v>87</v>
      </c>
      <c r="K20" t="s">
        <v>88</v>
      </c>
      <c r="L20" t="s">
        <v>89</v>
      </c>
      <c r="M20" t="s">
        <v>90</v>
      </c>
      <c r="N20" t="s">
        <v>91</v>
      </c>
      <c r="O20">
        <v>3</v>
      </c>
      <c r="P20">
        <v>849.19</v>
      </c>
      <c r="Q20">
        <v>0</v>
      </c>
      <c r="R20">
        <v>0</v>
      </c>
      <c r="S20">
        <v>1831.7</v>
      </c>
      <c r="T20">
        <v>0</v>
      </c>
      <c r="U20" t="s">
        <v>36</v>
      </c>
      <c r="V20" t="s">
        <v>101</v>
      </c>
      <c r="W20" t="s">
        <v>53</v>
      </c>
      <c r="X20" t="s">
        <v>54</v>
      </c>
      <c r="Y20">
        <v>0</v>
      </c>
      <c r="Z20">
        <f>IFERROR(ECommerceData[[#This Row],[Profit]]/ECommerceData[[#This Row],[Sales]],0)</f>
        <v>0</v>
      </c>
      <c r="AA20" t="str">
        <f t="shared" si="0"/>
        <v>Sep</v>
      </c>
      <c r="AB20">
        <f t="shared" si="1"/>
        <v>2026</v>
      </c>
      <c r="AC20" s="4" t="str">
        <f>IF(ECommerceData[[#This Row],[Sales]]&gt;=50000,"High Value",IF(ECommerceData[[#This Row],[Sales]]&gt;=10000,"Medium Value","Low Value"))</f>
        <v>Low Value</v>
      </c>
    </row>
    <row r="21" spans="1:29" x14ac:dyDescent="0.25">
      <c r="A21">
        <v>20</v>
      </c>
      <c r="B21" s="2">
        <v>46280</v>
      </c>
      <c r="C21" t="s">
        <v>137</v>
      </c>
      <c r="D21" t="s">
        <v>138</v>
      </c>
      <c r="E21" t="s">
        <v>27</v>
      </c>
      <c r="F21">
        <v>43</v>
      </c>
      <c r="G21" t="s">
        <v>139</v>
      </c>
      <c r="H21" t="s">
        <v>140</v>
      </c>
      <c r="I21" t="s">
        <v>141</v>
      </c>
      <c r="J21" t="s">
        <v>107</v>
      </c>
      <c r="K21" t="s">
        <v>108</v>
      </c>
      <c r="L21" t="s">
        <v>89</v>
      </c>
      <c r="M21" t="s">
        <v>109</v>
      </c>
      <c r="N21" t="s">
        <v>110</v>
      </c>
      <c r="O21">
        <v>1</v>
      </c>
      <c r="P21">
        <v>4914.7</v>
      </c>
      <c r="Q21">
        <v>0</v>
      </c>
      <c r="R21">
        <v>4914.7</v>
      </c>
      <c r="S21">
        <v>3854.71</v>
      </c>
      <c r="T21">
        <v>1059.99</v>
      </c>
      <c r="U21" t="s">
        <v>36</v>
      </c>
      <c r="V21" t="s">
        <v>52</v>
      </c>
      <c r="W21" t="s">
        <v>53</v>
      </c>
      <c r="X21" t="s">
        <v>39</v>
      </c>
      <c r="Y21">
        <v>5</v>
      </c>
      <c r="Z21">
        <f>IFERROR(ECommerceData[[#This Row],[Profit]]/ECommerceData[[#This Row],[Sales]],0)</f>
        <v>0.21567745742364744</v>
      </c>
      <c r="AA21" t="str">
        <f t="shared" si="0"/>
        <v>Sep</v>
      </c>
      <c r="AB21">
        <f t="shared" si="1"/>
        <v>2026</v>
      </c>
      <c r="AC21" s="4" t="str">
        <f>IF(ECommerceData[[#This Row],[Sales]]&gt;=50000,"High Value",IF(ECommerceData[[#This Row],[Sales]]&gt;=10000,"Medium Value","Low Value"))</f>
        <v>Low Value</v>
      </c>
    </row>
    <row r="22" spans="1:29" x14ac:dyDescent="0.25">
      <c r="A22">
        <v>21</v>
      </c>
      <c r="B22" s="2">
        <v>46043</v>
      </c>
      <c r="C22" t="s">
        <v>72</v>
      </c>
      <c r="D22" t="s">
        <v>142</v>
      </c>
      <c r="E22" t="s">
        <v>42</v>
      </c>
      <c r="F22">
        <v>33</v>
      </c>
      <c r="G22" t="s">
        <v>43</v>
      </c>
      <c r="H22" t="s">
        <v>44</v>
      </c>
      <c r="I22" t="s">
        <v>45</v>
      </c>
      <c r="J22" t="s">
        <v>67</v>
      </c>
      <c r="K22" t="s">
        <v>68</v>
      </c>
      <c r="L22" t="s">
        <v>48</v>
      </c>
      <c r="M22" t="s">
        <v>69</v>
      </c>
      <c r="N22" t="s">
        <v>70</v>
      </c>
      <c r="O22">
        <v>4</v>
      </c>
      <c r="P22">
        <v>53636.68</v>
      </c>
      <c r="Q22">
        <v>0.2</v>
      </c>
      <c r="R22">
        <v>171637.38</v>
      </c>
      <c r="S22">
        <v>121084.65</v>
      </c>
      <c r="T22">
        <v>50552.73</v>
      </c>
      <c r="U22" t="s">
        <v>92</v>
      </c>
      <c r="V22" t="s">
        <v>52</v>
      </c>
      <c r="W22" t="s">
        <v>71</v>
      </c>
      <c r="X22" t="s">
        <v>39</v>
      </c>
      <c r="Y22">
        <v>2</v>
      </c>
      <c r="Z22">
        <f>IFERROR(ECommerceData[[#This Row],[Profit]]/ECommerceData[[#This Row],[Sales]],0)</f>
        <v>0.29453217009022159</v>
      </c>
      <c r="AA22" t="str">
        <f t="shared" si="0"/>
        <v>Jan</v>
      </c>
      <c r="AB22">
        <f t="shared" si="1"/>
        <v>2026</v>
      </c>
      <c r="AC22" s="4" t="str">
        <f>IF(ECommerceData[[#This Row],[Sales]]&gt;=50000,"High Value",IF(ECommerceData[[#This Row],[Sales]]&gt;=10000,"Medium Value","Low Value"))</f>
        <v>High Value</v>
      </c>
    </row>
    <row r="23" spans="1:29" x14ac:dyDescent="0.25">
      <c r="A23">
        <v>22</v>
      </c>
      <c r="B23" s="2">
        <v>46176</v>
      </c>
      <c r="C23" t="s">
        <v>143</v>
      </c>
      <c r="D23" t="s">
        <v>144</v>
      </c>
      <c r="E23" t="s">
        <v>42</v>
      </c>
      <c r="F23">
        <v>26</v>
      </c>
      <c r="G23" t="s">
        <v>83</v>
      </c>
      <c r="H23" t="s">
        <v>84</v>
      </c>
      <c r="I23" t="s">
        <v>66</v>
      </c>
      <c r="J23" t="s">
        <v>145</v>
      </c>
      <c r="K23" t="s">
        <v>146</v>
      </c>
      <c r="L23" t="s">
        <v>33</v>
      </c>
      <c r="M23" t="s">
        <v>147</v>
      </c>
      <c r="N23" t="s">
        <v>148</v>
      </c>
      <c r="O23">
        <v>1</v>
      </c>
      <c r="P23">
        <v>1262.6099999999999</v>
      </c>
      <c r="Q23">
        <v>0.2</v>
      </c>
      <c r="R23">
        <v>1010.09</v>
      </c>
      <c r="S23">
        <v>827.9</v>
      </c>
      <c r="T23">
        <v>182.19</v>
      </c>
      <c r="U23" t="s">
        <v>92</v>
      </c>
      <c r="V23" t="s">
        <v>52</v>
      </c>
      <c r="W23" t="s">
        <v>38</v>
      </c>
      <c r="X23" t="s">
        <v>39</v>
      </c>
      <c r="Y23">
        <v>1</v>
      </c>
      <c r="Z23">
        <f>IFERROR(ECommerceData[[#This Row],[Profit]]/ECommerceData[[#This Row],[Sales]],0)</f>
        <v>0.18037006603371977</v>
      </c>
      <c r="AA23" t="str">
        <f t="shared" si="0"/>
        <v>Jun</v>
      </c>
      <c r="AB23">
        <f t="shared" si="1"/>
        <v>2026</v>
      </c>
      <c r="AC23" s="4" t="str">
        <f>IF(ECommerceData[[#This Row],[Sales]]&gt;=50000,"High Value",IF(ECommerceData[[#This Row],[Sales]]&gt;=10000,"Medium Value","Low Value"))</f>
        <v>Low Value</v>
      </c>
    </row>
    <row r="24" spans="1:29" x14ac:dyDescent="0.25">
      <c r="A24">
        <v>23</v>
      </c>
      <c r="B24" s="2">
        <v>46212</v>
      </c>
      <c r="C24" t="s">
        <v>149</v>
      </c>
      <c r="D24" t="s">
        <v>150</v>
      </c>
      <c r="E24" t="s">
        <v>42</v>
      </c>
      <c r="F24">
        <v>24</v>
      </c>
      <c r="G24" t="s">
        <v>57</v>
      </c>
      <c r="H24" t="s">
        <v>58</v>
      </c>
      <c r="I24" t="s">
        <v>45</v>
      </c>
      <c r="J24" t="s">
        <v>107</v>
      </c>
      <c r="K24" t="s">
        <v>108</v>
      </c>
      <c r="L24" t="s">
        <v>89</v>
      </c>
      <c r="M24" t="s">
        <v>109</v>
      </c>
      <c r="N24" t="s">
        <v>110</v>
      </c>
      <c r="O24">
        <v>4</v>
      </c>
      <c r="P24">
        <v>4800.37</v>
      </c>
      <c r="Q24">
        <v>0.25</v>
      </c>
      <c r="R24">
        <v>14401.11</v>
      </c>
      <c r="S24">
        <v>9398.2199999999993</v>
      </c>
      <c r="T24">
        <v>-2823.98</v>
      </c>
      <c r="U24" t="s">
        <v>51</v>
      </c>
      <c r="V24" t="s">
        <v>37</v>
      </c>
      <c r="W24" t="s">
        <v>71</v>
      </c>
      <c r="X24" t="s">
        <v>39</v>
      </c>
      <c r="Y24">
        <v>6</v>
      </c>
      <c r="Z24">
        <f>IFERROR(ECommerceData[[#This Row],[Profit]]/ECommerceData[[#This Row],[Sales]],0)</f>
        <v>-0.19609460659629707</v>
      </c>
      <c r="AA24" t="str">
        <f t="shared" si="0"/>
        <v>Jul</v>
      </c>
      <c r="AB24">
        <f t="shared" si="1"/>
        <v>2026</v>
      </c>
      <c r="AC24" s="4" t="str">
        <f>IF(ECommerceData[[#This Row],[Sales]]&gt;=50000,"High Value",IF(ECommerceData[[#This Row],[Sales]]&gt;=10000,"Medium Value","Low Value"))</f>
        <v>Medium Value</v>
      </c>
    </row>
    <row r="25" spans="1:29" x14ac:dyDescent="0.25">
      <c r="A25">
        <v>24</v>
      </c>
      <c r="B25" s="2">
        <v>46077</v>
      </c>
      <c r="C25" t="s">
        <v>151</v>
      </c>
      <c r="D25" t="s">
        <v>152</v>
      </c>
      <c r="E25" t="s">
        <v>42</v>
      </c>
      <c r="F25">
        <v>50</v>
      </c>
      <c r="G25" t="s">
        <v>139</v>
      </c>
      <c r="H25" t="s">
        <v>140</v>
      </c>
      <c r="I25" t="s">
        <v>141</v>
      </c>
      <c r="J25" t="s">
        <v>59</v>
      </c>
      <c r="K25" t="s">
        <v>60</v>
      </c>
      <c r="L25" t="s">
        <v>48</v>
      </c>
      <c r="M25" t="s">
        <v>49</v>
      </c>
      <c r="N25" t="s">
        <v>61</v>
      </c>
      <c r="O25">
        <v>3</v>
      </c>
      <c r="P25">
        <v>4016.68</v>
      </c>
      <c r="Q25">
        <v>0.05</v>
      </c>
      <c r="R25">
        <v>11447.52</v>
      </c>
      <c r="S25">
        <v>8611.14</v>
      </c>
      <c r="T25">
        <v>2836.39</v>
      </c>
      <c r="U25" t="s">
        <v>153</v>
      </c>
      <c r="V25" t="s">
        <v>52</v>
      </c>
      <c r="W25" t="s">
        <v>71</v>
      </c>
      <c r="X25" t="s">
        <v>39</v>
      </c>
      <c r="Y25">
        <v>6</v>
      </c>
      <c r="Z25">
        <f>IFERROR(ECommerceData[[#This Row],[Profit]]/ECommerceData[[#This Row],[Sales]],0)</f>
        <v>0.24777331684067813</v>
      </c>
      <c r="AA25" t="str">
        <f t="shared" si="0"/>
        <v>Feb</v>
      </c>
      <c r="AB25">
        <f t="shared" si="1"/>
        <v>2026</v>
      </c>
      <c r="AC25" s="4" t="str">
        <f>IF(ECommerceData[[#This Row],[Sales]]&gt;=50000,"High Value",IF(ECommerceData[[#This Row],[Sales]]&gt;=10000,"Medium Value","Low Value"))</f>
        <v>Medium Value</v>
      </c>
    </row>
    <row r="26" spans="1:29" x14ac:dyDescent="0.25">
      <c r="A26">
        <v>25</v>
      </c>
      <c r="B26" s="2">
        <v>46070</v>
      </c>
      <c r="C26" t="s">
        <v>154</v>
      </c>
      <c r="D26" t="s">
        <v>155</v>
      </c>
      <c r="E26" t="s">
        <v>42</v>
      </c>
      <c r="F26">
        <v>53</v>
      </c>
      <c r="G26" t="s">
        <v>64</v>
      </c>
      <c r="H26" t="s">
        <v>65</v>
      </c>
      <c r="I26" t="s">
        <v>66</v>
      </c>
      <c r="J26" t="s">
        <v>31</v>
      </c>
      <c r="K26" t="s">
        <v>32</v>
      </c>
      <c r="L26" t="s">
        <v>33</v>
      </c>
      <c r="M26" t="s">
        <v>34</v>
      </c>
      <c r="N26" t="s">
        <v>35</v>
      </c>
      <c r="O26">
        <v>1</v>
      </c>
      <c r="P26">
        <v>4953.8999999999996</v>
      </c>
      <c r="Q26">
        <v>0.05</v>
      </c>
      <c r="R26">
        <v>4706.21</v>
      </c>
      <c r="S26">
        <v>3449.21</v>
      </c>
      <c r="T26">
        <v>1256.99</v>
      </c>
      <c r="U26" t="s">
        <v>36</v>
      </c>
      <c r="V26" t="s">
        <v>52</v>
      </c>
      <c r="W26" t="s">
        <v>38</v>
      </c>
      <c r="X26" t="s">
        <v>39</v>
      </c>
      <c r="Y26">
        <v>2</v>
      </c>
      <c r="Z26">
        <f>IFERROR(ECommerceData[[#This Row],[Profit]]/ECommerceData[[#This Row],[Sales]],0)</f>
        <v>0.26709177873490558</v>
      </c>
      <c r="AA26" t="str">
        <f t="shared" si="0"/>
        <v>Feb</v>
      </c>
      <c r="AB26">
        <f t="shared" si="1"/>
        <v>2026</v>
      </c>
      <c r="AC26" s="4" t="str">
        <f>IF(ECommerceData[[#This Row],[Sales]]&gt;=50000,"High Value",IF(ECommerceData[[#This Row],[Sales]]&gt;=10000,"Medium Value","Low Value"))</f>
        <v>Low Value</v>
      </c>
    </row>
    <row r="27" spans="1:29" x14ac:dyDescent="0.25">
      <c r="A27">
        <v>26</v>
      </c>
      <c r="B27" s="2">
        <v>46099</v>
      </c>
      <c r="C27" t="s">
        <v>156</v>
      </c>
      <c r="D27" t="s">
        <v>157</v>
      </c>
      <c r="E27" t="s">
        <v>27</v>
      </c>
      <c r="F27">
        <v>40</v>
      </c>
      <c r="G27" t="s">
        <v>139</v>
      </c>
      <c r="H27" t="s">
        <v>140</v>
      </c>
      <c r="I27" t="s">
        <v>141</v>
      </c>
      <c r="J27" t="s">
        <v>158</v>
      </c>
      <c r="K27" t="s">
        <v>159</v>
      </c>
      <c r="L27" t="s">
        <v>48</v>
      </c>
      <c r="M27" t="s">
        <v>160</v>
      </c>
      <c r="N27" t="s">
        <v>161</v>
      </c>
      <c r="O27">
        <v>3</v>
      </c>
      <c r="P27">
        <v>28462.05</v>
      </c>
      <c r="Q27">
        <v>0.05</v>
      </c>
      <c r="R27">
        <v>81116.850000000006</v>
      </c>
      <c r="S27">
        <v>55414.879999999997</v>
      </c>
      <c r="T27">
        <v>25701.97</v>
      </c>
      <c r="U27" t="s">
        <v>51</v>
      </c>
      <c r="V27" t="s">
        <v>52</v>
      </c>
      <c r="W27" t="s">
        <v>53</v>
      </c>
      <c r="X27" t="s">
        <v>39</v>
      </c>
      <c r="Y27">
        <v>3</v>
      </c>
      <c r="Z27">
        <f>IFERROR(ECommerceData[[#This Row],[Profit]]/ECommerceData[[#This Row],[Sales]],0)</f>
        <v>0.31685118443332055</v>
      </c>
      <c r="AA27" t="str">
        <f t="shared" si="0"/>
        <v>Mar</v>
      </c>
      <c r="AB27">
        <f t="shared" si="1"/>
        <v>2026</v>
      </c>
      <c r="AC27" s="4" t="str">
        <f>IF(ECommerceData[[#This Row],[Sales]]&gt;=50000,"High Value",IF(ECommerceData[[#This Row],[Sales]]&gt;=10000,"Medium Value","Low Value"))</f>
        <v>High Value</v>
      </c>
    </row>
    <row r="28" spans="1:29" x14ac:dyDescent="0.25">
      <c r="A28">
        <v>27</v>
      </c>
      <c r="B28" s="2">
        <v>46075</v>
      </c>
      <c r="C28" t="s">
        <v>162</v>
      </c>
      <c r="D28" t="s">
        <v>163</v>
      </c>
      <c r="E28" t="s">
        <v>27</v>
      </c>
      <c r="F28">
        <v>44</v>
      </c>
      <c r="G28" t="s">
        <v>105</v>
      </c>
      <c r="H28" t="s">
        <v>106</v>
      </c>
      <c r="I28" t="s">
        <v>66</v>
      </c>
      <c r="J28" t="s">
        <v>115</v>
      </c>
      <c r="K28" t="s">
        <v>116</v>
      </c>
      <c r="L28" t="s">
        <v>117</v>
      </c>
      <c r="M28" t="s">
        <v>118</v>
      </c>
      <c r="N28" t="s">
        <v>119</v>
      </c>
      <c r="O28">
        <v>4</v>
      </c>
      <c r="P28">
        <v>656.86</v>
      </c>
      <c r="Q28">
        <v>0.25</v>
      </c>
      <c r="R28">
        <v>1970.58</v>
      </c>
      <c r="S28">
        <v>1216.03</v>
      </c>
      <c r="T28">
        <v>754.55</v>
      </c>
      <c r="U28" t="s">
        <v>36</v>
      </c>
      <c r="V28" t="s">
        <v>52</v>
      </c>
      <c r="W28" t="s">
        <v>38</v>
      </c>
      <c r="X28" t="s">
        <v>125</v>
      </c>
      <c r="Y28">
        <v>7</v>
      </c>
      <c r="Z28">
        <f>IFERROR(ECommerceData[[#This Row],[Profit]]/ECommerceData[[#This Row],[Sales]],0)</f>
        <v>0.38290757035999551</v>
      </c>
      <c r="AA28" t="str">
        <f t="shared" si="0"/>
        <v>Feb</v>
      </c>
      <c r="AB28">
        <f t="shared" si="1"/>
        <v>2026</v>
      </c>
      <c r="AC28" s="4" t="str">
        <f>IF(ECommerceData[[#This Row],[Sales]]&gt;=50000,"High Value",IF(ECommerceData[[#This Row],[Sales]]&gt;=10000,"Medium Value","Low Value"))</f>
        <v>Low Value</v>
      </c>
    </row>
    <row r="29" spans="1:29" x14ac:dyDescent="0.25">
      <c r="A29">
        <v>28</v>
      </c>
      <c r="B29" s="2">
        <v>46193</v>
      </c>
      <c r="C29" t="s">
        <v>126</v>
      </c>
      <c r="D29" t="s">
        <v>164</v>
      </c>
      <c r="E29" t="s">
        <v>27</v>
      </c>
      <c r="F29">
        <v>47</v>
      </c>
      <c r="G29" t="s">
        <v>64</v>
      </c>
      <c r="H29" t="s">
        <v>65</v>
      </c>
      <c r="I29" t="s">
        <v>66</v>
      </c>
      <c r="J29" t="s">
        <v>121</v>
      </c>
      <c r="K29" t="s">
        <v>122</v>
      </c>
      <c r="L29" t="s">
        <v>89</v>
      </c>
      <c r="M29" t="s">
        <v>123</v>
      </c>
      <c r="N29" t="s">
        <v>124</v>
      </c>
      <c r="O29">
        <v>3</v>
      </c>
      <c r="P29">
        <v>1677.31</v>
      </c>
      <c r="Q29">
        <v>0.25</v>
      </c>
      <c r="R29">
        <v>3773.95</v>
      </c>
      <c r="S29">
        <v>2286.8000000000002</v>
      </c>
      <c r="T29">
        <v>1487.15</v>
      </c>
      <c r="U29" t="s">
        <v>92</v>
      </c>
      <c r="V29" t="s">
        <v>52</v>
      </c>
      <c r="W29" t="s">
        <v>71</v>
      </c>
      <c r="X29" t="s">
        <v>39</v>
      </c>
      <c r="Y29">
        <v>7</v>
      </c>
      <c r="Z29">
        <f>IFERROR(ECommerceData[[#This Row],[Profit]]/ECommerceData[[#This Row],[Sales]],0)</f>
        <v>0.39405662502152922</v>
      </c>
      <c r="AA29" t="str">
        <f t="shared" si="0"/>
        <v>Jun</v>
      </c>
      <c r="AB29">
        <f t="shared" si="1"/>
        <v>2026</v>
      </c>
      <c r="AC29" s="4" t="str">
        <f>IF(ECommerceData[[#This Row],[Sales]]&gt;=50000,"High Value",IF(ECommerceData[[#This Row],[Sales]]&gt;=10000,"Medium Value","Low Value"))</f>
        <v>Low Value</v>
      </c>
    </row>
    <row r="30" spans="1:29" x14ac:dyDescent="0.25">
      <c r="A30">
        <v>29</v>
      </c>
      <c r="B30" s="2">
        <v>46137</v>
      </c>
      <c r="C30" t="s">
        <v>165</v>
      </c>
      <c r="D30" t="s">
        <v>166</v>
      </c>
      <c r="E30" t="s">
        <v>42</v>
      </c>
      <c r="F30">
        <v>52</v>
      </c>
      <c r="G30" t="s">
        <v>28</v>
      </c>
      <c r="H30" t="s">
        <v>29</v>
      </c>
      <c r="I30" t="s">
        <v>30</v>
      </c>
      <c r="J30" t="s">
        <v>87</v>
      </c>
      <c r="K30" t="s">
        <v>88</v>
      </c>
      <c r="L30" t="s">
        <v>89</v>
      </c>
      <c r="M30" t="s">
        <v>90</v>
      </c>
      <c r="N30" t="s">
        <v>91</v>
      </c>
      <c r="O30">
        <v>4</v>
      </c>
      <c r="P30">
        <v>869.09</v>
      </c>
      <c r="Q30">
        <v>0</v>
      </c>
      <c r="R30">
        <v>3476.35</v>
      </c>
      <c r="S30">
        <v>2822.98</v>
      </c>
      <c r="T30">
        <v>653.37</v>
      </c>
      <c r="U30" t="s">
        <v>92</v>
      </c>
      <c r="V30" t="s">
        <v>52</v>
      </c>
      <c r="W30" t="s">
        <v>38</v>
      </c>
      <c r="X30" t="s">
        <v>39</v>
      </c>
      <c r="Y30">
        <v>3</v>
      </c>
      <c r="Z30">
        <f>IFERROR(ECommerceData[[#This Row],[Profit]]/ECommerceData[[#This Row],[Sales]],0)</f>
        <v>0.18794712845369427</v>
      </c>
      <c r="AA30" t="str">
        <f t="shared" si="0"/>
        <v>Apr</v>
      </c>
      <c r="AB30">
        <f t="shared" si="1"/>
        <v>2026</v>
      </c>
      <c r="AC30" s="4" t="str">
        <f>IF(ECommerceData[[#This Row],[Sales]]&gt;=50000,"High Value",IF(ECommerceData[[#This Row],[Sales]]&gt;=10000,"Medium Value","Low Value"))</f>
        <v>Low Value</v>
      </c>
    </row>
    <row r="31" spans="1:29" x14ac:dyDescent="0.25">
      <c r="A31">
        <v>30</v>
      </c>
      <c r="B31" s="2">
        <v>46156</v>
      </c>
      <c r="C31" t="s">
        <v>167</v>
      </c>
      <c r="D31" t="s">
        <v>168</v>
      </c>
      <c r="E31" t="s">
        <v>27</v>
      </c>
      <c r="F31">
        <v>42</v>
      </c>
      <c r="G31" t="s">
        <v>132</v>
      </c>
      <c r="H31" t="s">
        <v>133</v>
      </c>
      <c r="I31" t="s">
        <v>30</v>
      </c>
      <c r="J31" t="s">
        <v>31</v>
      </c>
      <c r="K31" t="s">
        <v>32</v>
      </c>
      <c r="L31" t="s">
        <v>33</v>
      </c>
      <c r="M31" t="s">
        <v>34</v>
      </c>
      <c r="N31" t="s">
        <v>35</v>
      </c>
      <c r="O31">
        <v>1</v>
      </c>
      <c r="P31">
        <v>5069.24</v>
      </c>
      <c r="Q31">
        <v>0.15</v>
      </c>
      <c r="R31">
        <v>4308.8599999999997</v>
      </c>
      <c r="S31">
        <v>2856.62</v>
      </c>
      <c r="T31">
        <v>1452.24</v>
      </c>
      <c r="U31" t="s">
        <v>80</v>
      </c>
      <c r="V31" t="s">
        <v>52</v>
      </c>
      <c r="W31" t="s">
        <v>38</v>
      </c>
      <c r="X31" t="s">
        <v>54</v>
      </c>
      <c r="Y31">
        <v>4</v>
      </c>
      <c r="Z31">
        <f>IFERROR(ECommerceData[[#This Row],[Profit]]/ECommerceData[[#This Row],[Sales]],0)</f>
        <v>0.3370357820862131</v>
      </c>
      <c r="AA31" t="str">
        <f t="shared" si="0"/>
        <v>May</v>
      </c>
      <c r="AB31">
        <f t="shared" si="1"/>
        <v>2026</v>
      </c>
      <c r="AC31" s="4" t="str">
        <f>IF(ECommerceData[[#This Row],[Sales]]&gt;=50000,"High Value",IF(ECommerceData[[#This Row],[Sales]]&gt;=10000,"Medium Value","Low Value"))</f>
        <v>Low Value</v>
      </c>
    </row>
    <row r="32" spans="1:29" x14ac:dyDescent="0.25">
      <c r="A32">
        <v>31</v>
      </c>
      <c r="B32" s="2">
        <v>46045</v>
      </c>
      <c r="C32" t="s">
        <v>156</v>
      </c>
      <c r="D32" t="s">
        <v>169</v>
      </c>
      <c r="E32" t="s">
        <v>27</v>
      </c>
      <c r="F32">
        <v>39</v>
      </c>
      <c r="G32" t="s">
        <v>64</v>
      </c>
      <c r="H32" t="s">
        <v>65</v>
      </c>
      <c r="I32" t="s">
        <v>66</v>
      </c>
      <c r="J32" t="s">
        <v>46</v>
      </c>
      <c r="K32" t="s">
        <v>47</v>
      </c>
      <c r="L32" t="s">
        <v>48</v>
      </c>
      <c r="M32" t="s">
        <v>49</v>
      </c>
      <c r="N32" t="s">
        <v>50</v>
      </c>
      <c r="O32">
        <v>5</v>
      </c>
      <c r="P32">
        <v>2387.25</v>
      </c>
      <c r="Q32">
        <v>0.2</v>
      </c>
      <c r="R32">
        <v>9549.01</v>
      </c>
      <c r="S32">
        <v>7112.54</v>
      </c>
      <c r="T32">
        <v>-1628.83</v>
      </c>
      <c r="U32" t="s">
        <v>80</v>
      </c>
      <c r="V32" t="s">
        <v>37</v>
      </c>
      <c r="W32" t="s">
        <v>71</v>
      </c>
      <c r="X32" t="s">
        <v>125</v>
      </c>
      <c r="Y32">
        <v>2</v>
      </c>
      <c r="Z32">
        <f>IFERROR(ECommerceData[[#This Row],[Profit]]/ECommerceData[[#This Row],[Sales]],0)</f>
        <v>-0.1705757979099404</v>
      </c>
      <c r="AA32" t="str">
        <f t="shared" si="0"/>
        <v>Jan</v>
      </c>
      <c r="AB32">
        <f t="shared" si="1"/>
        <v>2026</v>
      </c>
      <c r="AC32" s="4" t="str">
        <f>IF(ECommerceData[[#This Row],[Sales]]&gt;=50000,"High Value",IF(ECommerceData[[#This Row],[Sales]]&gt;=10000,"Medium Value","Low Value"))</f>
        <v>Low Value</v>
      </c>
    </row>
    <row r="33" spans="1:29" x14ac:dyDescent="0.25">
      <c r="A33">
        <v>32</v>
      </c>
      <c r="B33" s="2">
        <v>46086</v>
      </c>
      <c r="C33" t="s">
        <v>170</v>
      </c>
      <c r="D33" t="s">
        <v>171</v>
      </c>
      <c r="E33" t="s">
        <v>42</v>
      </c>
      <c r="F33">
        <v>42</v>
      </c>
      <c r="G33" t="s">
        <v>57</v>
      </c>
      <c r="H33" t="s">
        <v>58</v>
      </c>
      <c r="I33" t="s">
        <v>45</v>
      </c>
      <c r="J33" t="s">
        <v>172</v>
      </c>
      <c r="K33" t="s">
        <v>173</v>
      </c>
      <c r="L33" t="s">
        <v>117</v>
      </c>
      <c r="M33" t="s">
        <v>118</v>
      </c>
      <c r="N33" t="s">
        <v>174</v>
      </c>
      <c r="O33">
        <v>3</v>
      </c>
      <c r="P33">
        <v>186.01</v>
      </c>
      <c r="Q33">
        <v>0.1</v>
      </c>
      <c r="R33">
        <v>502.22</v>
      </c>
      <c r="S33">
        <v>339.79</v>
      </c>
      <c r="T33">
        <v>162.43</v>
      </c>
      <c r="U33" t="s">
        <v>51</v>
      </c>
      <c r="V33" t="s">
        <v>52</v>
      </c>
      <c r="W33" t="s">
        <v>53</v>
      </c>
      <c r="X33" t="s">
        <v>125</v>
      </c>
      <c r="Y33">
        <v>5</v>
      </c>
      <c r="Z33">
        <f>IFERROR(ECommerceData[[#This Row],[Profit]]/ECommerceData[[#This Row],[Sales]],0)</f>
        <v>0.32342399745131617</v>
      </c>
      <c r="AA33" t="str">
        <f t="shared" si="0"/>
        <v>Mar</v>
      </c>
      <c r="AB33">
        <f t="shared" si="1"/>
        <v>2026</v>
      </c>
      <c r="AC33" s="4" t="str">
        <f>IF(ECommerceData[[#This Row],[Sales]]&gt;=50000,"High Value",IF(ECommerceData[[#This Row],[Sales]]&gt;=10000,"Medium Value","Low Value"))</f>
        <v>Low Value</v>
      </c>
    </row>
    <row r="34" spans="1:29" x14ac:dyDescent="0.25">
      <c r="A34">
        <v>33</v>
      </c>
      <c r="B34" s="2">
        <v>46177</v>
      </c>
      <c r="C34" t="s">
        <v>167</v>
      </c>
      <c r="D34" t="s">
        <v>175</v>
      </c>
      <c r="E34" t="s">
        <v>42</v>
      </c>
      <c r="F34">
        <v>47</v>
      </c>
      <c r="G34" t="s">
        <v>64</v>
      </c>
      <c r="H34" t="s">
        <v>65</v>
      </c>
      <c r="I34" t="s">
        <v>66</v>
      </c>
      <c r="J34" t="s">
        <v>115</v>
      </c>
      <c r="K34" t="s">
        <v>116</v>
      </c>
      <c r="L34" t="s">
        <v>117</v>
      </c>
      <c r="M34" t="s">
        <v>118</v>
      </c>
      <c r="N34" t="s">
        <v>119</v>
      </c>
      <c r="O34">
        <v>1</v>
      </c>
      <c r="P34">
        <v>576.46</v>
      </c>
      <c r="Q34">
        <v>0.05</v>
      </c>
      <c r="R34">
        <v>0</v>
      </c>
      <c r="S34">
        <v>374.13</v>
      </c>
      <c r="T34">
        <v>0</v>
      </c>
      <c r="U34" t="s">
        <v>153</v>
      </c>
      <c r="V34" t="s">
        <v>101</v>
      </c>
      <c r="W34" t="s">
        <v>71</v>
      </c>
      <c r="X34" t="s">
        <v>125</v>
      </c>
      <c r="Y34">
        <v>0</v>
      </c>
      <c r="Z34">
        <f>IFERROR(ECommerceData[[#This Row],[Profit]]/ECommerceData[[#This Row],[Sales]],0)</f>
        <v>0</v>
      </c>
      <c r="AA34" t="str">
        <f t="shared" ref="AA34:AA65" si="2">TEXT(B34,"mmm")</f>
        <v>Jun</v>
      </c>
      <c r="AB34">
        <f t="shared" ref="AB34:AB65" si="3">YEAR(B34)</f>
        <v>2026</v>
      </c>
      <c r="AC34" s="4" t="str">
        <f>IF(ECommerceData[[#This Row],[Sales]]&gt;=50000,"High Value",IF(ECommerceData[[#This Row],[Sales]]&gt;=10000,"Medium Value","Low Value"))</f>
        <v>Low Value</v>
      </c>
    </row>
    <row r="35" spans="1:29" x14ac:dyDescent="0.25">
      <c r="A35">
        <v>34</v>
      </c>
      <c r="B35" s="2">
        <v>46132</v>
      </c>
      <c r="C35" t="s">
        <v>149</v>
      </c>
      <c r="D35" t="s">
        <v>176</v>
      </c>
      <c r="E35" t="s">
        <v>27</v>
      </c>
      <c r="F35">
        <v>37</v>
      </c>
      <c r="G35" t="s">
        <v>139</v>
      </c>
      <c r="H35" t="s">
        <v>140</v>
      </c>
      <c r="I35" t="s">
        <v>141</v>
      </c>
      <c r="J35" t="s">
        <v>177</v>
      </c>
      <c r="K35" t="s">
        <v>178</v>
      </c>
      <c r="L35" t="s">
        <v>117</v>
      </c>
      <c r="M35" t="s">
        <v>118</v>
      </c>
      <c r="N35" t="s">
        <v>179</v>
      </c>
      <c r="O35">
        <v>2</v>
      </c>
      <c r="P35">
        <v>361.12</v>
      </c>
      <c r="Q35">
        <v>0.1</v>
      </c>
      <c r="R35">
        <v>650.02</v>
      </c>
      <c r="S35">
        <v>457.42</v>
      </c>
      <c r="T35">
        <v>-117.41</v>
      </c>
      <c r="U35" t="s">
        <v>51</v>
      </c>
      <c r="V35" t="s">
        <v>37</v>
      </c>
      <c r="W35" t="s">
        <v>38</v>
      </c>
      <c r="X35" t="s">
        <v>39</v>
      </c>
      <c r="Y35">
        <v>1</v>
      </c>
      <c r="Z35">
        <f>IFERROR(ECommerceData[[#This Row],[Profit]]/ECommerceData[[#This Row],[Sales]],0)</f>
        <v>-0.18062521153195285</v>
      </c>
      <c r="AA35" t="str">
        <f t="shared" si="2"/>
        <v>Apr</v>
      </c>
      <c r="AB35">
        <f t="shared" si="3"/>
        <v>2026</v>
      </c>
      <c r="AC35" s="4" t="str">
        <f>IF(ECommerceData[[#This Row],[Sales]]&gt;=50000,"High Value",IF(ECommerceData[[#This Row],[Sales]]&gt;=10000,"Medium Value","Low Value"))</f>
        <v>Low Value</v>
      </c>
    </row>
    <row r="36" spans="1:29" x14ac:dyDescent="0.25">
      <c r="A36">
        <v>35</v>
      </c>
      <c r="B36" s="2">
        <v>46035</v>
      </c>
      <c r="C36" t="s">
        <v>180</v>
      </c>
      <c r="D36" t="s">
        <v>181</v>
      </c>
      <c r="E36" t="s">
        <v>42</v>
      </c>
      <c r="F36">
        <v>43</v>
      </c>
      <c r="G36" t="s">
        <v>28</v>
      </c>
      <c r="H36" t="s">
        <v>29</v>
      </c>
      <c r="I36" t="s">
        <v>30</v>
      </c>
      <c r="J36" t="s">
        <v>121</v>
      </c>
      <c r="K36" t="s">
        <v>122</v>
      </c>
      <c r="L36" t="s">
        <v>89</v>
      </c>
      <c r="M36" t="s">
        <v>123</v>
      </c>
      <c r="N36" t="s">
        <v>124</v>
      </c>
      <c r="O36">
        <v>4</v>
      </c>
      <c r="P36">
        <v>1840.06</v>
      </c>
      <c r="Q36">
        <v>0</v>
      </c>
      <c r="R36">
        <v>7360.23</v>
      </c>
      <c r="S36">
        <v>5073.41</v>
      </c>
      <c r="T36">
        <v>-1344.28</v>
      </c>
      <c r="U36" t="s">
        <v>51</v>
      </c>
      <c r="V36" t="s">
        <v>37</v>
      </c>
      <c r="W36" t="s">
        <v>38</v>
      </c>
      <c r="X36" t="s">
        <v>125</v>
      </c>
      <c r="Y36">
        <v>6</v>
      </c>
      <c r="Z36">
        <f>IFERROR(ECommerceData[[#This Row],[Profit]]/ECommerceData[[#This Row],[Sales]],0)</f>
        <v>-0.18264103159819733</v>
      </c>
      <c r="AA36" t="str">
        <f t="shared" si="2"/>
        <v>Jan</v>
      </c>
      <c r="AB36">
        <f t="shared" si="3"/>
        <v>2026</v>
      </c>
      <c r="AC36" s="4" t="str">
        <f>IF(ECommerceData[[#This Row],[Sales]]&gt;=50000,"High Value",IF(ECommerceData[[#This Row],[Sales]]&gt;=10000,"Medium Value","Low Value"))</f>
        <v>Low Value</v>
      </c>
    </row>
    <row r="37" spans="1:29" x14ac:dyDescent="0.25">
      <c r="A37">
        <v>36</v>
      </c>
      <c r="B37" s="2">
        <v>46025</v>
      </c>
      <c r="C37" t="s">
        <v>182</v>
      </c>
      <c r="D37" t="s">
        <v>183</v>
      </c>
      <c r="E37" t="s">
        <v>27</v>
      </c>
      <c r="F37">
        <v>47</v>
      </c>
      <c r="G37" t="s">
        <v>74</v>
      </c>
      <c r="H37" t="s">
        <v>29</v>
      </c>
      <c r="I37" t="s">
        <v>30</v>
      </c>
      <c r="J37" t="s">
        <v>95</v>
      </c>
      <c r="K37" t="s">
        <v>96</v>
      </c>
      <c r="L37" t="s">
        <v>77</v>
      </c>
      <c r="M37" t="s">
        <v>97</v>
      </c>
      <c r="N37" t="s">
        <v>98</v>
      </c>
      <c r="O37">
        <v>2</v>
      </c>
      <c r="P37">
        <v>1122.21</v>
      </c>
      <c r="Q37">
        <v>0.25</v>
      </c>
      <c r="R37">
        <v>1683.32</v>
      </c>
      <c r="S37">
        <v>1185.58</v>
      </c>
      <c r="T37">
        <v>497.74</v>
      </c>
      <c r="U37" t="s">
        <v>51</v>
      </c>
      <c r="V37" t="s">
        <v>52</v>
      </c>
      <c r="W37" t="s">
        <v>71</v>
      </c>
      <c r="X37" t="s">
        <v>125</v>
      </c>
      <c r="Y37">
        <v>5</v>
      </c>
      <c r="Z37">
        <f>IFERROR(ECommerceData[[#This Row],[Profit]]/ECommerceData[[#This Row],[Sales]],0)</f>
        <v>0.29568947080768959</v>
      </c>
      <c r="AA37" t="str">
        <f t="shared" si="2"/>
        <v>Jan</v>
      </c>
      <c r="AB37">
        <f t="shared" si="3"/>
        <v>2026</v>
      </c>
      <c r="AC37" s="4" t="str">
        <f>IF(ECommerceData[[#This Row],[Sales]]&gt;=50000,"High Value",IF(ECommerceData[[#This Row],[Sales]]&gt;=10000,"Medium Value","Low Value"))</f>
        <v>Low Value</v>
      </c>
    </row>
    <row r="38" spans="1:29" x14ac:dyDescent="0.25">
      <c r="A38">
        <v>37</v>
      </c>
      <c r="B38" s="2">
        <v>46185</v>
      </c>
      <c r="C38" t="s">
        <v>99</v>
      </c>
      <c r="D38" t="s">
        <v>184</v>
      </c>
      <c r="E38" t="s">
        <v>42</v>
      </c>
      <c r="F38">
        <v>34</v>
      </c>
      <c r="G38" t="s">
        <v>83</v>
      </c>
      <c r="H38" t="s">
        <v>84</v>
      </c>
      <c r="I38" t="s">
        <v>66</v>
      </c>
      <c r="J38" t="s">
        <v>172</v>
      </c>
      <c r="K38" t="s">
        <v>173</v>
      </c>
      <c r="L38" t="s">
        <v>117</v>
      </c>
      <c r="M38" t="s">
        <v>118</v>
      </c>
      <c r="N38" t="s">
        <v>174</v>
      </c>
      <c r="O38">
        <v>4</v>
      </c>
      <c r="P38">
        <v>191.9</v>
      </c>
      <c r="Q38">
        <v>0.2</v>
      </c>
      <c r="R38">
        <v>614.08000000000004</v>
      </c>
      <c r="S38">
        <v>421.89</v>
      </c>
      <c r="T38">
        <v>192.2</v>
      </c>
      <c r="U38" t="s">
        <v>51</v>
      </c>
      <c r="V38" t="s">
        <v>52</v>
      </c>
      <c r="W38" t="s">
        <v>53</v>
      </c>
      <c r="X38" t="s">
        <v>54</v>
      </c>
      <c r="Y38">
        <v>6</v>
      </c>
      <c r="Z38">
        <f>IFERROR(ECommerceData[[#This Row],[Profit]]/ECommerceData[[#This Row],[Sales]],0)</f>
        <v>0.31298853569567481</v>
      </c>
      <c r="AA38" t="str">
        <f t="shared" si="2"/>
        <v>Jun</v>
      </c>
      <c r="AB38">
        <f t="shared" si="3"/>
        <v>2026</v>
      </c>
      <c r="AC38" s="4" t="str">
        <f>IF(ECommerceData[[#This Row],[Sales]]&gt;=50000,"High Value",IF(ECommerceData[[#This Row],[Sales]]&gt;=10000,"Medium Value","Low Value"))</f>
        <v>Low Value</v>
      </c>
    </row>
    <row r="39" spans="1:29" x14ac:dyDescent="0.25">
      <c r="A39">
        <v>38</v>
      </c>
      <c r="B39" s="2">
        <v>46289</v>
      </c>
      <c r="C39" t="s">
        <v>81</v>
      </c>
      <c r="D39" t="s">
        <v>185</v>
      </c>
      <c r="E39" t="s">
        <v>27</v>
      </c>
      <c r="F39">
        <v>26</v>
      </c>
      <c r="G39" t="s">
        <v>83</v>
      </c>
      <c r="H39" t="s">
        <v>84</v>
      </c>
      <c r="I39" t="s">
        <v>66</v>
      </c>
      <c r="J39" t="s">
        <v>121</v>
      </c>
      <c r="K39" t="s">
        <v>122</v>
      </c>
      <c r="L39" t="s">
        <v>89</v>
      </c>
      <c r="M39" t="s">
        <v>123</v>
      </c>
      <c r="N39" t="s">
        <v>124</v>
      </c>
      <c r="O39">
        <v>3</v>
      </c>
      <c r="P39">
        <v>1778.35</v>
      </c>
      <c r="Q39">
        <v>0.25</v>
      </c>
      <c r="R39">
        <v>4001.3</v>
      </c>
      <c r="S39">
        <v>2595.14</v>
      </c>
      <c r="T39">
        <v>1406.16</v>
      </c>
      <c r="U39" t="s">
        <v>51</v>
      </c>
      <c r="V39" t="s">
        <v>52</v>
      </c>
      <c r="W39" t="s">
        <v>38</v>
      </c>
      <c r="X39" t="s">
        <v>54</v>
      </c>
      <c r="Y39">
        <v>3</v>
      </c>
      <c r="Z39">
        <f>IFERROR(ECommerceData[[#This Row],[Profit]]/ECommerceData[[#This Row],[Sales]],0)</f>
        <v>0.3514257866193487</v>
      </c>
      <c r="AA39" t="str">
        <f t="shared" si="2"/>
        <v>Sep</v>
      </c>
      <c r="AB39">
        <f t="shared" si="3"/>
        <v>2026</v>
      </c>
      <c r="AC39" s="4" t="str">
        <f>IF(ECommerceData[[#This Row],[Sales]]&gt;=50000,"High Value",IF(ECommerceData[[#This Row],[Sales]]&gt;=10000,"Medium Value","Low Value"))</f>
        <v>Low Value</v>
      </c>
    </row>
    <row r="40" spans="1:29" x14ac:dyDescent="0.25">
      <c r="A40">
        <v>39</v>
      </c>
      <c r="B40" s="2">
        <v>46101</v>
      </c>
      <c r="C40" t="s">
        <v>186</v>
      </c>
      <c r="D40" t="s">
        <v>187</v>
      </c>
      <c r="E40" t="s">
        <v>42</v>
      </c>
      <c r="F40">
        <v>55</v>
      </c>
      <c r="G40" t="s">
        <v>113</v>
      </c>
      <c r="H40" t="s">
        <v>113</v>
      </c>
      <c r="I40" t="s">
        <v>45</v>
      </c>
      <c r="J40" t="s">
        <v>67</v>
      </c>
      <c r="K40" t="s">
        <v>68</v>
      </c>
      <c r="L40" t="s">
        <v>48</v>
      </c>
      <c r="M40" t="s">
        <v>69</v>
      </c>
      <c r="N40" t="s">
        <v>70</v>
      </c>
      <c r="O40">
        <v>4</v>
      </c>
      <c r="P40">
        <v>51039.03</v>
      </c>
      <c r="Q40">
        <v>0.2</v>
      </c>
      <c r="R40">
        <v>163324.91</v>
      </c>
      <c r="S40">
        <v>112991.74</v>
      </c>
      <c r="T40">
        <v>50333.17</v>
      </c>
      <c r="U40" t="s">
        <v>36</v>
      </c>
      <c r="V40" t="s">
        <v>52</v>
      </c>
      <c r="W40" t="s">
        <v>53</v>
      </c>
      <c r="X40" t="s">
        <v>54</v>
      </c>
      <c r="Y40">
        <v>2</v>
      </c>
      <c r="Z40">
        <f>IFERROR(ECommerceData[[#This Row],[Profit]]/ECommerceData[[#This Row],[Sales]],0)</f>
        <v>0.30817815849401048</v>
      </c>
      <c r="AA40" t="str">
        <f t="shared" si="2"/>
        <v>Mar</v>
      </c>
      <c r="AB40">
        <f t="shared" si="3"/>
        <v>2026</v>
      </c>
      <c r="AC40" s="4" t="str">
        <f>IF(ECommerceData[[#This Row],[Sales]]&gt;=50000,"High Value",IF(ECommerceData[[#This Row],[Sales]]&gt;=10000,"Medium Value","Low Value"))</f>
        <v>High Value</v>
      </c>
    </row>
    <row r="41" spans="1:29" x14ac:dyDescent="0.25">
      <c r="A41">
        <v>40</v>
      </c>
      <c r="B41" s="2">
        <v>46267</v>
      </c>
      <c r="C41" t="s">
        <v>188</v>
      </c>
      <c r="D41" t="s">
        <v>189</v>
      </c>
      <c r="E41" t="s">
        <v>42</v>
      </c>
      <c r="F41">
        <v>32</v>
      </c>
      <c r="G41" t="s">
        <v>28</v>
      </c>
      <c r="H41" t="s">
        <v>29</v>
      </c>
      <c r="I41" t="s">
        <v>30</v>
      </c>
      <c r="J41" t="s">
        <v>190</v>
      </c>
      <c r="K41" t="s">
        <v>191</v>
      </c>
      <c r="L41" t="s">
        <v>33</v>
      </c>
      <c r="M41" t="s">
        <v>192</v>
      </c>
      <c r="N41" t="s">
        <v>193</v>
      </c>
      <c r="O41">
        <v>3</v>
      </c>
      <c r="P41">
        <v>3362.22</v>
      </c>
      <c r="Q41">
        <v>0.15</v>
      </c>
      <c r="R41">
        <v>8573.67</v>
      </c>
      <c r="S41">
        <v>6080.22</v>
      </c>
      <c r="T41">
        <v>-1428.92</v>
      </c>
      <c r="U41" t="s">
        <v>92</v>
      </c>
      <c r="V41" t="s">
        <v>37</v>
      </c>
      <c r="W41" t="s">
        <v>71</v>
      </c>
      <c r="X41" t="s">
        <v>54</v>
      </c>
      <c r="Y41">
        <v>5</v>
      </c>
      <c r="Z41">
        <f>IFERROR(ECommerceData[[#This Row],[Profit]]/ECommerceData[[#This Row],[Sales]],0)</f>
        <v>-0.16666375076250894</v>
      </c>
      <c r="AA41" t="str">
        <f t="shared" si="2"/>
        <v>Sep</v>
      </c>
      <c r="AB41">
        <f t="shared" si="3"/>
        <v>2026</v>
      </c>
      <c r="AC41" s="4" t="str">
        <f>IF(ECommerceData[[#This Row],[Sales]]&gt;=50000,"High Value",IF(ECommerceData[[#This Row],[Sales]]&gt;=10000,"Medium Value","Low Value"))</f>
        <v>Low Value</v>
      </c>
    </row>
    <row r="42" spans="1:29" x14ac:dyDescent="0.25">
      <c r="A42">
        <v>41</v>
      </c>
      <c r="B42" s="2">
        <v>46037</v>
      </c>
      <c r="C42" t="s">
        <v>143</v>
      </c>
      <c r="D42" t="s">
        <v>194</v>
      </c>
      <c r="E42" t="s">
        <v>42</v>
      </c>
      <c r="F42">
        <v>55</v>
      </c>
      <c r="G42" t="s">
        <v>64</v>
      </c>
      <c r="H42" t="s">
        <v>65</v>
      </c>
      <c r="I42" t="s">
        <v>66</v>
      </c>
      <c r="J42" t="s">
        <v>145</v>
      </c>
      <c r="K42" t="s">
        <v>146</v>
      </c>
      <c r="L42" t="s">
        <v>33</v>
      </c>
      <c r="M42" t="s">
        <v>147</v>
      </c>
      <c r="N42" t="s">
        <v>148</v>
      </c>
      <c r="O42">
        <v>4</v>
      </c>
      <c r="P42">
        <v>1462.77</v>
      </c>
      <c r="Q42">
        <v>0.15</v>
      </c>
      <c r="R42">
        <v>0</v>
      </c>
      <c r="S42">
        <v>3982.17</v>
      </c>
      <c r="T42">
        <v>0</v>
      </c>
      <c r="U42" t="s">
        <v>80</v>
      </c>
      <c r="V42" t="s">
        <v>101</v>
      </c>
      <c r="W42" t="s">
        <v>53</v>
      </c>
      <c r="X42" t="s">
        <v>39</v>
      </c>
      <c r="Y42">
        <v>0</v>
      </c>
      <c r="Z42">
        <f>IFERROR(ECommerceData[[#This Row],[Profit]]/ECommerceData[[#This Row],[Sales]],0)</f>
        <v>0</v>
      </c>
      <c r="AA42" t="str">
        <f t="shared" si="2"/>
        <v>Jan</v>
      </c>
      <c r="AB42">
        <f t="shared" si="3"/>
        <v>2026</v>
      </c>
      <c r="AC42" s="4" t="str">
        <f>IF(ECommerceData[[#This Row],[Sales]]&gt;=50000,"High Value",IF(ECommerceData[[#This Row],[Sales]]&gt;=10000,"Medium Value","Low Value"))</f>
        <v>Low Value</v>
      </c>
    </row>
    <row r="43" spans="1:29" x14ac:dyDescent="0.25">
      <c r="A43">
        <v>42</v>
      </c>
      <c r="B43" s="2">
        <v>46065</v>
      </c>
      <c r="C43" t="s">
        <v>81</v>
      </c>
      <c r="D43" t="s">
        <v>195</v>
      </c>
      <c r="E43" t="s">
        <v>42</v>
      </c>
      <c r="F43">
        <v>35</v>
      </c>
      <c r="G43" t="s">
        <v>64</v>
      </c>
      <c r="H43" t="s">
        <v>65</v>
      </c>
      <c r="I43" t="s">
        <v>66</v>
      </c>
      <c r="J43" t="s">
        <v>59</v>
      </c>
      <c r="K43" t="s">
        <v>60</v>
      </c>
      <c r="L43" t="s">
        <v>48</v>
      </c>
      <c r="M43" t="s">
        <v>49</v>
      </c>
      <c r="N43" t="s">
        <v>61</v>
      </c>
      <c r="O43">
        <v>4</v>
      </c>
      <c r="P43">
        <v>3932.65</v>
      </c>
      <c r="Q43">
        <v>0.1</v>
      </c>
      <c r="R43">
        <v>14157.55</v>
      </c>
      <c r="S43">
        <v>9499.5</v>
      </c>
      <c r="T43">
        <v>4658.05</v>
      </c>
      <c r="U43" t="s">
        <v>153</v>
      </c>
      <c r="V43" t="s">
        <v>52</v>
      </c>
      <c r="W43" t="s">
        <v>71</v>
      </c>
      <c r="X43" t="s">
        <v>39</v>
      </c>
      <c r="Y43">
        <v>4</v>
      </c>
      <c r="Z43">
        <f>IFERROR(ECommerceData[[#This Row],[Profit]]/ECommerceData[[#This Row],[Sales]],0)</f>
        <v>0.32901526040875717</v>
      </c>
      <c r="AA43" t="str">
        <f t="shared" si="2"/>
        <v>Feb</v>
      </c>
      <c r="AB43">
        <f t="shared" si="3"/>
        <v>2026</v>
      </c>
      <c r="AC43" s="4" t="str">
        <f>IF(ECommerceData[[#This Row],[Sales]]&gt;=50000,"High Value",IF(ECommerceData[[#This Row],[Sales]]&gt;=10000,"Medium Value","Low Value"))</f>
        <v>Medium Value</v>
      </c>
    </row>
    <row r="44" spans="1:29" x14ac:dyDescent="0.25">
      <c r="A44">
        <v>43</v>
      </c>
      <c r="B44" s="2">
        <v>46263</v>
      </c>
      <c r="C44" t="s">
        <v>165</v>
      </c>
      <c r="D44" t="s">
        <v>196</v>
      </c>
      <c r="E44" t="s">
        <v>27</v>
      </c>
      <c r="F44">
        <v>33</v>
      </c>
      <c r="G44" t="s">
        <v>28</v>
      </c>
      <c r="H44" t="s">
        <v>29</v>
      </c>
      <c r="I44" t="s">
        <v>30</v>
      </c>
      <c r="J44" t="s">
        <v>115</v>
      </c>
      <c r="K44" t="s">
        <v>116</v>
      </c>
      <c r="L44" t="s">
        <v>117</v>
      </c>
      <c r="M44" t="s">
        <v>118</v>
      </c>
      <c r="N44" t="s">
        <v>119</v>
      </c>
      <c r="O44">
        <v>1</v>
      </c>
      <c r="P44">
        <v>659.99</v>
      </c>
      <c r="Q44">
        <v>0.1</v>
      </c>
      <c r="R44">
        <v>593.99</v>
      </c>
      <c r="S44">
        <v>376.48</v>
      </c>
      <c r="T44">
        <v>217.51</v>
      </c>
      <c r="U44" t="s">
        <v>51</v>
      </c>
      <c r="V44" t="s">
        <v>52</v>
      </c>
      <c r="W44" t="s">
        <v>38</v>
      </c>
      <c r="X44" t="s">
        <v>125</v>
      </c>
      <c r="Y44">
        <v>7</v>
      </c>
      <c r="Z44">
        <f>IFERROR(ECommerceData[[#This Row],[Profit]]/ECommerceData[[#This Row],[Sales]],0)</f>
        <v>0.36618461590262458</v>
      </c>
      <c r="AA44" t="str">
        <f t="shared" si="2"/>
        <v>Aug</v>
      </c>
      <c r="AB44">
        <f t="shared" si="3"/>
        <v>2026</v>
      </c>
      <c r="AC44" s="4" t="str">
        <f>IF(ECommerceData[[#This Row],[Sales]]&gt;=50000,"High Value",IF(ECommerceData[[#This Row],[Sales]]&gt;=10000,"Medium Value","Low Value"))</f>
        <v>Low Value</v>
      </c>
    </row>
    <row r="45" spans="1:29" x14ac:dyDescent="0.25">
      <c r="A45">
        <v>44</v>
      </c>
      <c r="B45" s="2">
        <v>46101</v>
      </c>
      <c r="C45" t="s">
        <v>197</v>
      </c>
      <c r="D45" t="s">
        <v>198</v>
      </c>
      <c r="E45" t="s">
        <v>42</v>
      </c>
      <c r="F45">
        <v>28</v>
      </c>
      <c r="G45" t="s">
        <v>113</v>
      </c>
      <c r="H45" t="s">
        <v>113</v>
      </c>
      <c r="I45" t="s">
        <v>45</v>
      </c>
      <c r="J45" t="s">
        <v>59</v>
      </c>
      <c r="K45" t="s">
        <v>60</v>
      </c>
      <c r="L45" t="s">
        <v>48</v>
      </c>
      <c r="M45" t="s">
        <v>49</v>
      </c>
      <c r="N45" t="s">
        <v>61</v>
      </c>
      <c r="O45">
        <v>4</v>
      </c>
      <c r="P45">
        <v>4342.3500000000004</v>
      </c>
      <c r="Q45">
        <v>0.2</v>
      </c>
      <c r="R45">
        <v>13895.51</v>
      </c>
      <c r="S45">
        <v>11220.09</v>
      </c>
      <c r="T45">
        <v>2675.42</v>
      </c>
      <c r="U45" t="s">
        <v>80</v>
      </c>
      <c r="V45" t="s">
        <v>52</v>
      </c>
      <c r="W45" t="s">
        <v>53</v>
      </c>
      <c r="X45" t="s">
        <v>125</v>
      </c>
      <c r="Y45">
        <v>6</v>
      </c>
      <c r="Z45">
        <f>IFERROR(ECommerceData[[#This Row],[Profit]]/ECommerceData[[#This Row],[Sales]],0)</f>
        <v>0.19253845306865311</v>
      </c>
      <c r="AA45" t="str">
        <f t="shared" si="2"/>
        <v>Mar</v>
      </c>
      <c r="AB45">
        <f t="shared" si="3"/>
        <v>2026</v>
      </c>
      <c r="AC45" s="4" t="str">
        <f>IF(ECommerceData[[#This Row],[Sales]]&gt;=50000,"High Value",IF(ECommerceData[[#This Row],[Sales]]&gt;=10000,"Medium Value","Low Value"))</f>
        <v>Medium Value</v>
      </c>
    </row>
    <row r="46" spans="1:29" x14ac:dyDescent="0.25">
      <c r="A46">
        <v>45</v>
      </c>
      <c r="B46" s="2">
        <v>46081</v>
      </c>
      <c r="C46" t="s">
        <v>199</v>
      </c>
      <c r="D46" t="s">
        <v>200</v>
      </c>
      <c r="E46" t="s">
        <v>27</v>
      </c>
      <c r="F46">
        <v>55</v>
      </c>
      <c r="G46" t="s">
        <v>132</v>
      </c>
      <c r="H46" t="s">
        <v>133</v>
      </c>
      <c r="I46" t="s">
        <v>30</v>
      </c>
      <c r="J46" t="s">
        <v>201</v>
      </c>
      <c r="K46" t="s">
        <v>202</v>
      </c>
      <c r="L46" t="s">
        <v>33</v>
      </c>
      <c r="M46" t="s">
        <v>203</v>
      </c>
      <c r="N46" t="s">
        <v>204</v>
      </c>
      <c r="O46">
        <v>1</v>
      </c>
      <c r="P46">
        <v>8633.76</v>
      </c>
      <c r="Q46">
        <v>0.1</v>
      </c>
      <c r="R46">
        <v>7770.39</v>
      </c>
      <c r="S46">
        <v>5580.62</v>
      </c>
      <c r="T46">
        <v>2189.7600000000002</v>
      </c>
      <c r="U46" t="s">
        <v>51</v>
      </c>
      <c r="V46" t="s">
        <v>52</v>
      </c>
      <c r="W46" t="s">
        <v>38</v>
      </c>
      <c r="X46" t="s">
        <v>125</v>
      </c>
      <c r="Y46">
        <v>4</v>
      </c>
      <c r="Z46">
        <f>IFERROR(ECommerceData[[#This Row],[Profit]]/ECommerceData[[#This Row],[Sales]],0)</f>
        <v>0.28180824900680662</v>
      </c>
      <c r="AA46" t="str">
        <f t="shared" si="2"/>
        <v>Feb</v>
      </c>
      <c r="AB46">
        <f t="shared" si="3"/>
        <v>2026</v>
      </c>
      <c r="AC46" s="4" t="str">
        <f>IF(ECommerceData[[#This Row],[Sales]]&gt;=50000,"High Value",IF(ECommerceData[[#This Row],[Sales]]&gt;=10000,"Medium Value","Low Value"))</f>
        <v>Low Value</v>
      </c>
    </row>
    <row r="47" spans="1:29" x14ac:dyDescent="0.25">
      <c r="A47">
        <v>46</v>
      </c>
      <c r="B47" s="2">
        <v>46177</v>
      </c>
      <c r="C47" t="s">
        <v>165</v>
      </c>
      <c r="D47" t="s">
        <v>205</v>
      </c>
      <c r="E47" t="s">
        <v>27</v>
      </c>
      <c r="F47">
        <v>44</v>
      </c>
      <c r="G47" t="s">
        <v>43</v>
      </c>
      <c r="H47" t="s">
        <v>44</v>
      </c>
      <c r="I47" t="s">
        <v>45</v>
      </c>
      <c r="J47" t="s">
        <v>206</v>
      </c>
      <c r="K47" t="s">
        <v>207</v>
      </c>
      <c r="L47" t="s">
        <v>48</v>
      </c>
      <c r="M47" t="s">
        <v>208</v>
      </c>
      <c r="N47" t="s">
        <v>209</v>
      </c>
      <c r="O47">
        <v>5</v>
      </c>
      <c r="P47">
        <v>3697.84</v>
      </c>
      <c r="Q47">
        <v>0.1</v>
      </c>
      <c r="R47">
        <v>16640.3</v>
      </c>
      <c r="S47">
        <v>11778.98</v>
      </c>
      <c r="T47">
        <v>-2359.13</v>
      </c>
      <c r="U47" t="s">
        <v>153</v>
      </c>
      <c r="V47" t="s">
        <v>37</v>
      </c>
      <c r="W47" t="s">
        <v>38</v>
      </c>
      <c r="X47" t="s">
        <v>54</v>
      </c>
      <c r="Y47">
        <v>5</v>
      </c>
      <c r="Z47">
        <f>IFERROR(ECommerceData[[#This Row],[Profit]]/ECommerceData[[#This Row],[Sales]],0)</f>
        <v>-0.14177208343599576</v>
      </c>
      <c r="AA47" t="str">
        <f t="shared" si="2"/>
        <v>Jun</v>
      </c>
      <c r="AB47">
        <f t="shared" si="3"/>
        <v>2026</v>
      </c>
      <c r="AC47" s="4" t="str">
        <f>IF(ECommerceData[[#This Row],[Sales]]&gt;=50000,"High Value",IF(ECommerceData[[#This Row],[Sales]]&gt;=10000,"Medium Value","Low Value"))</f>
        <v>Medium Value</v>
      </c>
    </row>
    <row r="48" spans="1:29" x14ac:dyDescent="0.25">
      <c r="A48">
        <v>47</v>
      </c>
      <c r="B48" s="2">
        <v>46208</v>
      </c>
      <c r="C48" t="s">
        <v>130</v>
      </c>
      <c r="D48" t="s">
        <v>210</v>
      </c>
      <c r="E48" t="s">
        <v>42</v>
      </c>
      <c r="F48">
        <v>47</v>
      </c>
      <c r="G48" t="s">
        <v>83</v>
      </c>
      <c r="H48" t="s">
        <v>84</v>
      </c>
      <c r="I48" t="s">
        <v>66</v>
      </c>
      <c r="J48" t="s">
        <v>59</v>
      </c>
      <c r="K48" t="s">
        <v>60</v>
      </c>
      <c r="L48" t="s">
        <v>48</v>
      </c>
      <c r="M48" t="s">
        <v>49</v>
      </c>
      <c r="N48" t="s">
        <v>61</v>
      </c>
      <c r="O48">
        <v>4</v>
      </c>
      <c r="P48">
        <v>3927.96</v>
      </c>
      <c r="Q48">
        <v>0.2</v>
      </c>
      <c r="R48">
        <v>12569.46</v>
      </c>
      <c r="S48">
        <v>10202.799999999999</v>
      </c>
      <c r="T48">
        <v>2366.66</v>
      </c>
      <c r="U48" t="s">
        <v>153</v>
      </c>
      <c r="V48" t="s">
        <v>52</v>
      </c>
      <c r="W48" t="s">
        <v>53</v>
      </c>
      <c r="X48" t="s">
        <v>125</v>
      </c>
      <c r="Y48">
        <v>5</v>
      </c>
      <c r="Z48">
        <f>IFERROR(ECommerceData[[#This Row],[Profit]]/ECommerceData[[#This Row],[Sales]],0)</f>
        <v>0.18828652941335586</v>
      </c>
      <c r="AA48" t="str">
        <f t="shared" si="2"/>
        <v>Jul</v>
      </c>
      <c r="AB48">
        <f t="shared" si="3"/>
        <v>2026</v>
      </c>
      <c r="AC48" s="4" t="str">
        <f>IF(ECommerceData[[#This Row],[Sales]]&gt;=50000,"High Value",IF(ECommerceData[[#This Row],[Sales]]&gt;=10000,"Medium Value","Low Value"))</f>
        <v>Medium Value</v>
      </c>
    </row>
    <row r="49" spans="1:29" x14ac:dyDescent="0.25">
      <c r="A49">
        <v>48</v>
      </c>
      <c r="B49" s="2">
        <v>46160</v>
      </c>
      <c r="C49" t="s">
        <v>211</v>
      </c>
      <c r="D49" t="s">
        <v>212</v>
      </c>
      <c r="E49" t="s">
        <v>42</v>
      </c>
      <c r="F49">
        <v>39</v>
      </c>
      <c r="G49" t="s">
        <v>105</v>
      </c>
      <c r="H49" t="s">
        <v>106</v>
      </c>
      <c r="I49" t="s">
        <v>66</v>
      </c>
      <c r="J49" t="s">
        <v>121</v>
      </c>
      <c r="K49" t="s">
        <v>122</v>
      </c>
      <c r="L49" t="s">
        <v>89</v>
      </c>
      <c r="M49" t="s">
        <v>123</v>
      </c>
      <c r="N49" t="s">
        <v>124</v>
      </c>
      <c r="O49">
        <v>1</v>
      </c>
      <c r="P49">
        <v>1720.41</v>
      </c>
      <c r="Q49">
        <v>0.15</v>
      </c>
      <c r="R49">
        <v>1462.35</v>
      </c>
      <c r="S49">
        <v>933.75</v>
      </c>
      <c r="T49">
        <v>528.6</v>
      </c>
      <c r="U49" t="s">
        <v>36</v>
      </c>
      <c r="V49" t="s">
        <v>52</v>
      </c>
      <c r="W49" t="s">
        <v>71</v>
      </c>
      <c r="X49" t="s">
        <v>54</v>
      </c>
      <c r="Y49">
        <v>5</v>
      </c>
      <c r="Z49">
        <f>IFERROR(ECommerceData[[#This Row],[Profit]]/ECommerceData[[#This Row],[Sales]],0)</f>
        <v>0.36147297158682945</v>
      </c>
      <c r="AA49" t="str">
        <f t="shared" si="2"/>
        <v>May</v>
      </c>
      <c r="AB49">
        <f t="shared" si="3"/>
        <v>2026</v>
      </c>
      <c r="AC49" s="4" t="str">
        <f>IF(ECommerceData[[#This Row],[Sales]]&gt;=50000,"High Value",IF(ECommerceData[[#This Row],[Sales]]&gt;=10000,"Medium Value","Low Value"))</f>
        <v>Low Value</v>
      </c>
    </row>
    <row r="50" spans="1:29" x14ac:dyDescent="0.25">
      <c r="A50">
        <v>49</v>
      </c>
      <c r="B50" s="2">
        <v>46116</v>
      </c>
      <c r="C50" t="s">
        <v>180</v>
      </c>
      <c r="D50" t="s">
        <v>213</v>
      </c>
      <c r="E50" t="s">
        <v>42</v>
      </c>
      <c r="F50">
        <v>53</v>
      </c>
      <c r="G50" t="s">
        <v>83</v>
      </c>
      <c r="H50" t="s">
        <v>84</v>
      </c>
      <c r="I50" t="s">
        <v>66</v>
      </c>
      <c r="J50" t="s">
        <v>87</v>
      </c>
      <c r="K50" t="s">
        <v>88</v>
      </c>
      <c r="L50" t="s">
        <v>89</v>
      </c>
      <c r="M50" t="s">
        <v>90</v>
      </c>
      <c r="N50" t="s">
        <v>91</v>
      </c>
      <c r="O50">
        <v>3</v>
      </c>
      <c r="P50">
        <v>953.61</v>
      </c>
      <c r="Q50">
        <v>0.1</v>
      </c>
      <c r="R50">
        <v>0</v>
      </c>
      <c r="S50">
        <v>1666.16</v>
      </c>
      <c r="T50">
        <v>0</v>
      </c>
      <c r="U50" t="s">
        <v>36</v>
      </c>
      <c r="V50" t="s">
        <v>101</v>
      </c>
      <c r="W50" t="s">
        <v>53</v>
      </c>
      <c r="X50" t="s">
        <v>39</v>
      </c>
      <c r="Y50">
        <v>0</v>
      </c>
      <c r="Z50">
        <f>IFERROR(ECommerceData[[#This Row],[Profit]]/ECommerceData[[#This Row],[Sales]],0)</f>
        <v>0</v>
      </c>
      <c r="AA50" t="str">
        <f t="shared" si="2"/>
        <v>Apr</v>
      </c>
      <c r="AB50">
        <f t="shared" si="3"/>
        <v>2026</v>
      </c>
      <c r="AC50" s="4" t="str">
        <f>IF(ECommerceData[[#This Row],[Sales]]&gt;=50000,"High Value",IF(ECommerceData[[#This Row],[Sales]]&gt;=10000,"Medium Value","Low Value"))</f>
        <v>Low Value</v>
      </c>
    </row>
    <row r="51" spans="1:29" x14ac:dyDescent="0.25">
      <c r="A51">
        <v>50</v>
      </c>
      <c r="B51" s="2">
        <v>46066</v>
      </c>
      <c r="C51" t="s">
        <v>214</v>
      </c>
      <c r="D51" t="s">
        <v>215</v>
      </c>
      <c r="E51" t="s">
        <v>27</v>
      </c>
      <c r="F51">
        <v>36</v>
      </c>
      <c r="G51" t="s">
        <v>113</v>
      </c>
      <c r="H51" t="s">
        <v>113</v>
      </c>
      <c r="I51" t="s">
        <v>45</v>
      </c>
      <c r="J51" t="s">
        <v>95</v>
      </c>
      <c r="K51" t="s">
        <v>96</v>
      </c>
      <c r="L51" t="s">
        <v>77</v>
      </c>
      <c r="M51" t="s">
        <v>97</v>
      </c>
      <c r="N51" t="s">
        <v>98</v>
      </c>
      <c r="O51">
        <v>4</v>
      </c>
      <c r="P51">
        <v>1213.24</v>
      </c>
      <c r="Q51">
        <v>0.05</v>
      </c>
      <c r="R51">
        <v>4610.32</v>
      </c>
      <c r="S51">
        <v>3438.13</v>
      </c>
      <c r="T51">
        <v>-768.87</v>
      </c>
      <c r="U51" t="s">
        <v>51</v>
      </c>
      <c r="V51" t="s">
        <v>37</v>
      </c>
      <c r="W51" t="s">
        <v>71</v>
      </c>
      <c r="X51" t="s">
        <v>125</v>
      </c>
      <c r="Y51">
        <v>4</v>
      </c>
      <c r="Z51">
        <f>IFERROR(ECommerceData[[#This Row],[Profit]]/ECommerceData[[#This Row],[Sales]],0)</f>
        <v>-0.16677150393031287</v>
      </c>
      <c r="AA51" t="str">
        <f t="shared" si="2"/>
        <v>Feb</v>
      </c>
      <c r="AB51">
        <f t="shared" si="3"/>
        <v>2026</v>
      </c>
      <c r="AC51" s="4" t="str">
        <f>IF(ECommerceData[[#This Row],[Sales]]&gt;=50000,"High Value",IF(ECommerceData[[#This Row],[Sales]]&gt;=10000,"Medium Value","Low Value"))</f>
        <v>Low Value</v>
      </c>
    </row>
    <row r="52" spans="1:29" x14ac:dyDescent="0.25">
      <c r="A52">
        <v>51</v>
      </c>
      <c r="B52" s="2">
        <v>46147</v>
      </c>
      <c r="C52" t="s">
        <v>180</v>
      </c>
      <c r="D52" t="s">
        <v>216</v>
      </c>
      <c r="E52" t="s">
        <v>42</v>
      </c>
      <c r="F52">
        <v>37</v>
      </c>
      <c r="G52" t="s">
        <v>57</v>
      </c>
      <c r="H52" t="s">
        <v>58</v>
      </c>
      <c r="I52" t="s">
        <v>45</v>
      </c>
      <c r="J52" t="s">
        <v>190</v>
      </c>
      <c r="K52" t="s">
        <v>191</v>
      </c>
      <c r="L52" t="s">
        <v>33</v>
      </c>
      <c r="M52" t="s">
        <v>192</v>
      </c>
      <c r="N52" t="s">
        <v>193</v>
      </c>
      <c r="O52">
        <v>4</v>
      </c>
      <c r="P52">
        <v>3234.22</v>
      </c>
      <c r="Q52">
        <v>0.1</v>
      </c>
      <c r="R52">
        <v>11643.2</v>
      </c>
      <c r="S52">
        <v>7942.07</v>
      </c>
      <c r="T52">
        <v>-2128.87</v>
      </c>
      <c r="U52" t="s">
        <v>92</v>
      </c>
      <c r="V52" t="s">
        <v>37</v>
      </c>
      <c r="W52" t="s">
        <v>38</v>
      </c>
      <c r="X52" t="s">
        <v>39</v>
      </c>
      <c r="Y52">
        <v>3</v>
      </c>
      <c r="Z52">
        <f>IFERROR(ECommerceData[[#This Row],[Profit]]/ECommerceData[[#This Row],[Sales]],0)</f>
        <v>-0.18284234574687369</v>
      </c>
      <c r="AA52" t="str">
        <f t="shared" si="2"/>
        <v>May</v>
      </c>
      <c r="AB52">
        <f t="shared" si="3"/>
        <v>2026</v>
      </c>
      <c r="AC52" s="4" t="str">
        <f>IF(ECommerceData[[#This Row],[Sales]]&gt;=50000,"High Value",IF(ECommerceData[[#This Row],[Sales]]&gt;=10000,"Medium Value","Low Value"))</f>
        <v>Medium Value</v>
      </c>
    </row>
    <row r="53" spans="1:29" x14ac:dyDescent="0.25">
      <c r="A53">
        <v>52</v>
      </c>
      <c r="B53" s="2">
        <v>46121</v>
      </c>
      <c r="C53" t="s">
        <v>126</v>
      </c>
      <c r="D53" t="s">
        <v>217</v>
      </c>
      <c r="E53" t="s">
        <v>42</v>
      </c>
      <c r="F53">
        <v>24</v>
      </c>
      <c r="G53" t="s">
        <v>105</v>
      </c>
      <c r="H53" t="s">
        <v>106</v>
      </c>
      <c r="I53" t="s">
        <v>66</v>
      </c>
      <c r="J53" t="s">
        <v>206</v>
      </c>
      <c r="K53" t="s">
        <v>207</v>
      </c>
      <c r="L53" t="s">
        <v>48</v>
      </c>
      <c r="M53" t="s">
        <v>208</v>
      </c>
      <c r="N53" t="s">
        <v>209</v>
      </c>
      <c r="O53">
        <v>5</v>
      </c>
      <c r="P53">
        <v>3815.61</v>
      </c>
      <c r="Q53">
        <v>0.25</v>
      </c>
      <c r="R53">
        <v>14308.55</v>
      </c>
      <c r="S53">
        <v>8934.7800000000007</v>
      </c>
      <c r="T53">
        <v>5373.78</v>
      </c>
      <c r="U53" t="s">
        <v>51</v>
      </c>
      <c r="V53" t="s">
        <v>52</v>
      </c>
      <c r="W53" t="s">
        <v>71</v>
      </c>
      <c r="X53" t="s">
        <v>39</v>
      </c>
      <c r="Y53">
        <v>6</v>
      </c>
      <c r="Z53">
        <f>IFERROR(ECommerceData[[#This Row],[Profit]]/ECommerceData[[#This Row],[Sales]],0)</f>
        <v>0.3755642605295435</v>
      </c>
      <c r="AA53" t="str">
        <f t="shared" si="2"/>
        <v>Apr</v>
      </c>
      <c r="AB53">
        <f t="shared" si="3"/>
        <v>2026</v>
      </c>
      <c r="AC53" s="4" t="str">
        <f>IF(ECommerceData[[#This Row],[Sales]]&gt;=50000,"High Value",IF(ECommerceData[[#This Row],[Sales]]&gt;=10000,"Medium Value","Low Value"))</f>
        <v>Medium Value</v>
      </c>
    </row>
    <row r="54" spans="1:29" x14ac:dyDescent="0.25">
      <c r="A54">
        <v>53</v>
      </c>
      <c r="B54" s="2">
        <v>46207</v>
      </c>
      <c r="C54" t="s">
        <v>218</v>
      </c>
      <c r="D54" t="s">
        <v>219</v>
      </c>
      <c r="E54" t="s">
        <v>27</v>
      </c>
      <c r="F54">
        <v>49</v>
      </c>
      <c r="G54" t="s">
        <v>132</v>
      </c>
      <c r="H54" t="s">
        <v>133</v>
      </c>
      <c r="I54" t="s">
        <v>30</v>
      </c>
      <c r="J54" t="s">
        <v>201</v>
      </c>
      <c r="K54" t="s">
        <v>202</v>
      </c>
      <c r="L54" t="s">
        <v>33</v>
      </c>
      <c r="M54" t="s">
        <v>203</v>
      </c>
      <c r="N54" t="s">
        <v>204</v>
      </c>
      <c r="O54">
        <v>1</v>
      </c>
      <c r="P54">
        <v>8853.6299999999992</v>
      </c>
      <c r="Q54">
        <v>0.05</v>
      </c>
      <c r="R54">
        <v>8410.9500000000007</v>
      </c>
      <c r="S54">
        <v>5432.08</v>
      </c>
      <c r="T54">
        <v>2978.87</v>
      </c>
      <c r="U54" t="s">
        <v>36</v>
      </c>
      <c r="V54" t="s">
        <v>52</v>
      </c>
      <c r="W54" t="s">
        <v>38</v>
      </c>
      <c r="X54" t="s">
        <v>125</v>
      </c>
      <c r="Y54">
        <v>5</v>
      </c>
      <c r="Z54">
        <f>IFERROR(ECommerceData[[#This Row],[Profit]]/ECommerceData[[#This Row],[Sales]],0)</f>
        <v>0.35416570066401531</v>
      </c>
      <c r="AA54" t="str">
        <f t="shared" si="2"/>
        <v>Jul</v>
      </c>
      <c r="AB54">
        <f t="shared" si="3"/>
        <v>2026</v>
      </c>
      <c r="AC54" s="4" t="str">
        <f>IF(ECommerceData[[#This Row],[Sales]]&gt;=50000,"High Value",IF(ECommerceData[[#This Row],[Sales]]&gt;=10000,"Medium Value","Low Value"))</f>
        <v>Low Value</v>
      </c>
    </row>
    <row r="55" spans="1:29" x14ac:dyDescent="0.25">
      <c r="A55">
        <v>54</v>
      </c>
      <c r="B55" s="2">
        <v>46168</v>
      </c>
      <c r="C55" t="s">
        <v>149</v>
      </c>
      <c r="D55" t="s">
        <v>220</v>
      </c>
      <c r="E55" t="s">
        <v>42</v>
      </c>
      <c r="F55">
        <v>49</v>
      </c>
      <c r="G55" t="s">
        <v>83</v>
      </c>
      <c r="H55" t="s">
        <v>84</v>
      </c>
      <c r="I55" t="s">
        <v>66</v>
      </c>
      <c r="J55" t="s">
        <v>177</v>
      </c>
      <c r="K55" t="s">
        <v>178</v>
      </c>
      <c r="L55" t="s">
        <v>117</v>
      </c>
      <c r="M55" t="s">
        <v>118</v>
      </c>
      <c r="N55" t="s">
        <v>179</v>
      </c>
      <c r="O55">
        <v>4</v>
      </c>
      <c r="P55">
        <v>338.85</v>
      </c>
      <c r="Q55">
        <v>0</v>
      </c>
      <c r="R55">
        <v>1355.4</v>
      </c>
      <c r="S55">
        <v>868.26</v>
      </c>
      <c r="T55">
        <v>487.14</v>
      </c>
      <c r="U55" t="s">
        <v>36</v>
      </c>
      <c r="V55" t="s">
        <v>52</v>
      </c>
      <c r="W55" t="s">
        <v>53</v>
      </c>
      <c r="X55" t="s">
        <v>125</v>
      </c>
      <c r="Y55">
        <v>1</v>
      </c>
      <c r="Z55">
        <f>IFERROR(ECommerceData[[#This Row],[Profit]]/ECommerceData[[#This Row],[Sales]],0)</f>
        <v>0.35940681717574147</v>
      </c>
      <c r="AA55" t="str">
        <f t="shared" si="2"/>
        <v>May</v>
      </c>
      <c r="AB55">
        <f t="shared" si="3"/>
        <v>2026</v>
      </c>
      <c r="AC55" s="4" t="str">
        <f>IF(ECommerceData[[#This Row],[Sales]]&gt;=50000,"High Value",IF(ECommerceData[[#This Row],[Sales]]&gt;=10000,"Medium Value","Low Value"))</f>
        <v>Low Value</v>
      </c>
    </row>
    <row r="56" spans="1:29" x14ac:dyDescent="0.25">
      <c r="A56">
        <v>55</v>
      </c>
      <c r="B56" s="2">
        <v>46050</v>
      </c>
      <c r="C56" t="s">
        <v>102</v>
      </c>
      <c r="D56" t="s">
        <v>221</v>
      </c>
      <c r="E56" t="s">
        <v>27</v>
      </c>
      <c r="F56">
        <v>51</v>
      </c>
      <c r="G56" t="s">
        <v>132</v>
      </c>
      <c r="H56" t="s">
        <v>133</v>
      </c>
      <c r="I56" t="s">
        <v>30</v>
      </c>
      <c r="J56" t="s">
        <v>59</v>
      </c>
      <c r="K56" t="s">
        <v>60</v>
      </c>
      <c r="L56" t="s">
        <v>48</v>
      </c>
      <c r="M56" t="s">
        <v>49</v>
      </c>
      <c r="N56" t="s">
        <v>61</v>
      </c>
      <c r="O56">
        <v>5</v>
      </c>
      <c r="P56">
        <v>4577.2700000000004</v>
      </c>
      <c r="Q56">
        <v>0</v>
      </c>
      <c r="R56">
        <v>22886.33</v>
      </c>
      <c r="S56">
        <v>18733.38</v>
      </c>
      <c r="T56">
        <v>4152.95</v>
      </c>
      <c r="U56" t="s">
        <v>153</v>
      </c>
      <c r="V56" t="s">
        <v>52</v>
      </c>
      <c r="W56" t="s">
        <v>71</v>
      </c>
      <c r="X56" t="s">
        <v>54</v>
      </c>
      <c r="Y56">
        <v>5</v>
      </c>
      <c r="Z56">
        <f>IFERROR(ECommerceData[[#This Row],[Profit]]/ECommerceData[[#This Row],[Sales]],0)</f>
        <v>0.1814598496132844</v>
      </c>
      <c r="AA56" t="str">
        <f t="shared" si="2"/>
        <v>Jan</v>
      </c>
      <c r="AB56">
        <f t="shared" si="3"/>
        <v>2026</v>
      </c>
      <c r="AC56" s="4" t="str">
        <f>IF(ECommerceData[[#This Row],[Sales]]&gt;=50000,"High Value",IF(ECommerceData[[#This Row],[Sales]]&gt;=10000,"Medium Value","Low Value"))</f>
        <v>Medium Value</v>
      </c>
    </row>
    <row r="57" spans="1:29" x14ac:dyDescent="0.25">
      <c r="A57">
        <v>56</v>
      </c>
      <c r="B57" s="2">
        <v>46175</v>
      </c>
      <c r="C57" t="s">
        <v>222</v>
      </c>
      <c r="D57" t="s">
        <v>223</v>
      </c>
      <c r="E57" t="s">
        <v>27</v>
      </c>
      <c r="F57">
        <v>34</v>
      </c>
      <c r="G57" t="s">
        <v>43</v>
      </c>
      <c r="H57" t="s">
        <v>44</v>
      </c>
      <c r="I57" t="s">
        <v>45</v>
      </c>
      <c r="J57" t="s">
        <v>95</v>
      </c>
      <c r="K57" t="s">
        <v>96</v>
      </c>
      <c r="L57" t="s">
        <v>77</v>
      </c>
      <c r="M57" t="s">
        <v>97</v>
      </c>
      <c r="N57" t="s">
        <v>98</v>
      </c>
      <c r="O57">
        <v>3</v>
      </c>
      <c r="P57">
        <v>1216.47</v>
      </c>
      <c r="Q57">
        <v>0</v>
      </c>
      <c r="R57">
        <v>3649.41</v>
      </c>
      <c r="S57">
        <v>2650.61</v>
      </c>
      <c r="T57">
        <v>-349.2</v>
      </c>
      <c r="U57" t="s">
        <v>36</v>
      </c>
      <c r="V57" t="s">
        <v>37</v>
      </c>
      <c r="W57" t="s">
        <v>38</v>
      </c>
      <c r="X57" t="s">
        <v>39</v>
      </c>
      <c r="Y57">
        <v>7</v>
      </c>
      <c r="Z57">
        <f>IFERROR(ECommerceData[[#This Row],[Profit]]/ECommerceData[[#This Row],[Sales]],0)</f>
        <v>-9.5686700041924588E-2</v>
      </c>
      <c r="AA57" t="str">
        <f t="shared" si="2"/>
        <v>Jun</v>
      </c>
      <c r="AB57">
        <f t="shared" si="3"/>
        <v>2026</v>
      </c>
      <c r="AC57" s="4" t="str">
        <f>IF(ECommerceData[[#This Row],[Sales]]&gt;=50000,"High Value",IF(ECommerceData[[#This Row],[Sales]]&gt;=10000,"Medium Value","Low Value"))</f>
        <v>Low Value</v>
      </c>
    </row>
    <row r="58" spans="1:29" x14ac:dyDescent="0.25">
      <c r="A58">
        <v>57</v>
      </c>
      <c r="B58" s="2">
        <v>46111</v>
      </c>
      <c r="C58" t="s">
        <v>224</v>
      </c>
      <c r="D58" t="s">
        <v>225</v>
      </c>
      <c r="E58" t="s">
        <v>42</v>
      </c>
      <c r="F58">
        <v>36</v>
      </c>
      <c r="G58" t="s">
        <v>139</v>
      </c>
      <c r="H58" t="s">
        <v>140</v>
      </c>
      <c r="I58" t="s">
        <v>141</v>
      </c>
      <c r="J58" t="s">
        <v>67</v>
      </c>
      <c r="K58" t="s">
        <v>68</v>
      </c>
      <c r="L58" t="s">
        <v>48</v>
      </c>
      <c r="M58" t="s">
        <v>69</v>
      </c>
      <c r="N58" t="s">
        <v>70</v>
      </c>
      <c r="O58">
        <v>2</v>
      </c>
      <c r="P58">
        <v>46827.83</v>
      </c>
      <c r="Q58">
        <v>0.15</v>
      </c>
      <c r="R58">
        <v>79607.31</v>
      </c>
      <c r="S58">
        <v>59343.19</v>
      </c>
      <c r="T58">
        <v>20264.11</v>
      </c>
      <c r="U58" t="s">
        <v>153</v>
      </c>
      <c r="V58" t="s">
        <v>52</v>
      </c>
      <c r="W58" t="s">
        <v>38</v>
      </c>
      <c r="X58" t="s">
        <v>125</v>
      </c>
      <c r="Y58">
        <v>3</v>
      </c>
      <c r="Z58">
        <f>IFERROR(ECommerceData[[#This Row],[Profit]]/ECommerceData[[#This Row],[Sales]],0)</f>
        <v>0.25455086976309088</v>
      </c>
      <c r="AA58" t="str">
        <f t="shared" si="2"/>
        <v>Mar</v>
      </c>
      <c r="AB58">
        <f t="shared" si="3"/>
        <v>2026</v>
      </c>
      <c r="AC58" s="4" t="str">
        <f>IF(ECommerceData[[#This Row],[Sales]]&gt;=50000,"High Value",IF(ECommerceData[[#This Row],[Sales]]&gt;=10000,"Medium Value","Low Value"))</f>
        <v>High Value</v>
      </c>
    </row>
    <row r="59" spans="1:29" x14ac:dyDescent="0.25">
      <c r="A59">
        <v>58</v>
      </c>
      <c r="B59" s="2">
        <v>46142</v>
      </c>
      <c r="C59" t="s">
        <v>226</v>
      </c>
      <c r="D59" t="s">
        <v>227</v>
      </c>
      <c r="E59" t="s">
        <v>27</v>
      </c>
      <c r="F59">
        <v>28</v>
      </c>
      <c r="G59" t="s">
        <v>57</v>
      </c>
      <c r="H59" t="s">
        <v>58</v>
      </c>
      <c r="I59" t="s">
        <v>45</v>
      </c>
      <c r="J59" t="s">
        <v>87</v>
      </c>
      <c r="K59" t="s">
        <v>88</v>
      </c>
      <c r="L59" t="s">
        <v>89</v>
      </c>
      <c r="M59" t="s">
        <v>90</v>
      </c>
      <c r="N59" t="s">
        <v>91</v>
      </c>
      <c r="O59">
        <v>4</v>
      </c>
      <c r="P59">
        <v>830.66</v>
      </c>
      <c r="Q59">
        <v>0.05</v>
      </c>
      <c r="R59">
        <v>3156.51</v>
      </c>
      <c r="S59">
        <v>2321.4</v>
      </c>
      <c r="T59">
        <v>835.11</v>
      </c>
      <c r="U59" t="s">
        <v>92</v>
      </c>
      <c r="V59" t="s">
        <v>52</v>
      </c>
      <c r="W59" t="s">
        <v>53</v>
      </c>
      <c r="X59" t="s">
        <v>125</v>
      </c>
      <c r="Y59">
        <v>7</v>
      </c>
      <c r="Z59">
        <f>IFERROR(ECommerceData[[#This Row],[Profit]]/ECommerceData[[#This Row],[Sales]],0)</f>
        <v>0.26456751285438662</v>
      </c>
      <c r="AA59" t="str">
        <f t="shared" si="2"/>
        <v>Apr</v>
      </c>
      <c r="AB59">
        <f t="shared" si="3"/>
        <v>2026</v>
      </c>
      <c r="AC59" s="4" t="str">
        <f>IF(ECommerceData[[#This Row],[Sales]]&gt;=50000,"High Value",IF(ECommerceData[[#This Row],[Sales]]&gt;=10000,"Medium Value","Low Value"))</f>
        <v>Low Value</v>
      </c>
    </row>
    <row r="60" spans="1:29" x14ac:dyDescent="0.25">
      <c r="A60">
        <v>59</v>
      </c>
      <c r="B60" s="2">
        <v>46170</v>
      </c>
      <c r="C60" t="s">
        <v>143</v>
      </c>
      <c r="D60" t="s">
        <v>228</v>
      </c>
      <c r="E60" t="s">
        <v>42</v>
      </c>
      <c r="F60">
        <v>23</v>
      </c>
      <c r="G60" t="s">
        <v>83</v>
      </c>
      <c r="H60" t="s">
        <v>84</v>
      </c>
      <c r="I60" t="s">
        <v>66</v>
      </c>
      <c r="J60" t="s">
        <v>206</v>
      </c>
      <c r="K60" t="s">
        <v>207</v>
      </c>
      <c r="L60" t="s">
        <v>48</v>
      </c>
      <c r="M60" t="s">
        <v>208</v>
      </c>
      <c r="N60" t="s">
        <v>209</v>
      </c>
      <c r="O60">
        <v>4</v>
      </c>
      <c r="P60">
        <v>3632.07</v>
      </c>
      <c r="Q60">
        <v>0.25</v>
      </c>
      <c r="R60">
        <v>10896.22</v>
      </c>
      <c r="S60">
        <v>7372.41</v>
      </c>
      <c r="T60">
        <v>3523.82</v>
      </c>
      <c r="U60" t="s">
        <v>80</v>
      </c>
      <c r="V60" t="s">
        <v>52</v>
      </c>
      <c r="W60" t="s">
        <v>38</v>
      </c>
      <c r="X60" t="s">
        <v>54</v>
      </c>
      <c r="Y60">
        <v>5</v>
      </c>
      <c r="Z60">
        <f>IFERROR(ECommerceData[[#This Row],[Profit]]/ECommerceData[[#This Row],[Sales]],0)</f>
        <v>0.32339838953325101</v>
      </c>
      <c r="AA60" t="str">
        <f t="shared" si="2"/>
        <v>May</v>
      </c>
      <c r="AB60">
        <f t="shared" si="3"/>
        <v>2026</v>
      </c>
      <c r="AC60" s="4" t="str">
        <f>IF(ECommerceData[[#This Row],[Sales]]&gt;=50000,"High Value",IF(ECommerceData[[#This Row],[Sales]]&gt;=10000,"Medium Value","Low Value"))</f>
        <v>Medium Value</v>
      </c>
    </row>
    <row r="61" spans="1:29" x14ac:dyDescent="0.25">
      <c r="A61">
        <v>60</v>
      </c>
      <c r="B61" s="2">
        <v>46188</v>
      </c>
      <c r="C61" t="s">
        <v>25</v>
      </c>
      <c r="D61" t="s">
        <v>229</v>
      </c>
      <c r="E61" t="s">
        <v>42</v>
      </c>
      <c r="F61">
        <v>54</v>
      </c>
      <c r="G61" t="s">
        <v>43</v>
      </c>
      <c r="H61" t="s">
        <v>44</v>
      </c>
      <c r="I61" t="s">
        <v>45</v>
      </c>
      <c r="J61" t="s">
        <v>31</v>
      </c>
      <c r="K61" t="s">
        <v>32</v>
      </c>
      <c r="L61" t="s">
        <v>33</v>
      </c>
      <c r="M61" t="s">
        <v>34</v>
      </c>
      <c r="N61" t="s">
        <v>35</v>
      </c>
      <c r="O61">
        <v>1</v>
      </c>
      <c r="P61">
        <v>5050.46</v>
      </c>
      <c r="Q61">
        <v>0.25</v>
      </c>
      <c r="R61">
        <v>0</v>
      </c>
      <c r="S61">
        <v>2956.91</v>
      </c>
      <c r="T61">
        <v>0</v>
      </c>
      <c r="U61" t="s">
        <v>36</v>
      </c>
      <c r="V61" t="s">
        <v>101</v>
      </c>
      <c r="W61" t="s">
        <v>38</v>
      </c>
      <c r="X61" t="s">
        <v>54</v>
      </c>
      <c r="Y61">
        <v>0</v>
      </c>
      <c r="Z61">
        <f>IFERROR(ECommerceData[[#This Row],[Profit]]/ECommerceData[[#This Row],[Sales]],0)</f>
        <v>0</v>
      </c>
      <c r="AA61" t="str">
        <f t="shared" si="2"/>
        <v>Jun</v>
      </c>
      <c r="AB61">
        <f t="shared" si="3"/>
        <v>2026</v>
      </c>
      <c r="AC61" s="4" t="str">
        <f>IF(ECommerceData[[#This Row],[Sales]]&gt;=50000,"High Value",IF(ECommerceData[[#This Row],[Sales]]&gt;=10000,"Medium Value","Low Value"))</f>
        <v>Low Value</v>
      </c>
    </row>
    <row r="62" spans="1:29" x14ac:dyDescent="0.25">
      <c r="A62">
        <v>61</v>
      </c>
      <c r="B62" s="2">
        <v>46288</v>
      </c>
      <c r="C62" t="s">
        <v>126</v>
      </c>
      <c r="D62" t="s">
        <v>230</v>
      </c>
      <c r="E62" t="s">
        <v>42</v>
      </c>
      <c r="F62">
        <v>39</v>
      </c>
      <c r="G62" t="s">
        <v>83</v>
      </c>
      <c r="H62" t="s">
        <v>84</v>
      </c>
      <c r="I62" t="s">
        <v>66</v>
      </c>
      <c r="J62" t="s">
        <v>31</v>
      </c>
      <c r="K62" t="s">
        <v>32</v>
      </c>
      <c r="L62" t="s">
        <v>33</v>
      </c>
      <c r="M62" t="s">
        <v>34</v>
      </c>
      <c r="N62" t="s">
        <v>35</v>
      </c>
      <c r="O62">
        <v>2</v>
      </c>
      <c r="P62">
        <v>6046.64</v>
      </c>
      <c r="Q62">
        <v>0.15</v>
      </c>
      <c r="R62">
        <v>10279.290000000001</v>
      </c>
      <c r="S62">
        <v>7528.02</v>
      </c>
      <c r="T62">
        <v>2751.27</v>
      </c>
      <c r="U62" t="s">
        <v>92</v>
      </c>
      <c r="V62" t="s">
        <v>52</v>
      </c>
      <c r="W62" t="s">
        <v>53</v>
      </c>
      <c r="X62" t="s">
        <v>39</v>
      </c>
      <c r="Y62">
        <v>1</v>
      </c>
      <c r="Z62">
        <f>IFERROR(ECommerceData[[#This Row],[Profit]]/ECommerceData[[#This Row],[Sales]],0)</f>
        <v>0.26765175415811793</v>
      </c>
      <c r="AA62" t="str">
        <f t="shared" si="2"/>
        <v>Sep</v>
      </c>
      <c r="AB62">
        <f t="shared" si="3"/>
        <v>2026</v>
      </c>
      <c r="AC62" s="4" t="str">
        <f>IF(ECommerceData[[#This Row],[Sales]]&gt;=50000,"High Value",IF(ECommerceData[[#This Row],[Sales]]&gt;=10000,"Medium Value","Low Value"))</f>
        <v>Medium Value</v>
      </c>
    </row>
    <row r="63" spans="1:29" x14ac:dyDescent="0.25">
      <c r="A63">
        <v>62</v>
      </c>
      <c r="B63" s="2">
        <v>46105</v>
      </c>
      <c r="C63" t="s">
        <v>224</v>
      </c>
      <c r="D63" t="s">
        <v>231</v>
      </c>
      <c r="E63" t="s">
        <v>27</v>
      </c>
      <c r="F63">
        <v>38</v>
      </c>
      <c r="G63" t="s">
        <v>105</v>
      </c>
      <c r="H63" t="s">
        <v>106</v>
      </c>
      <c r="I63" t="s">
        <v>66</v>
      </c>
      <c r="J63" t="s">
        <v>95</v>
      </c>
      <c r="K63" t="s">
        <v>96</v>
      </c>
      <c r="L63" t="s">
        <v>77</v>
      </c>
      <c r="M63" t="s">
        <v>97</v>
      </c>
      <c r="N63" t="s">
        <v>98</v>
      </c>
      <c r="O63">
        <v>4</v>
      </c>
      <c r="P63">
        <v>1149.17</v>
      </c>
      <c r="Q63">
        <v>0.15</v>
      </c>
      <c r="R63">
        <v>0</v>
      </c>
      <c r="S63">
        <v>3029.07</v>
      </c>
      <c r="T63">
        <v>0</v>
      </c>
      <c r="U63" t="s">
        <v>92</v>
      </c>
      <c r="V63" t="s">
        <v>101</v>
      </c>
      <c r="W63" t="s">
        <v>71</v>
      </c>
      <c r="X63" t="s">
        <v>39</v>
      </c>
      <c r="Y63">
        <v>0</v>
      </c>
      <c r="Z63">
        <f>IFERROR(ECommerceData[[#This Row],[Profit]]/ECommerceData[[#This Row],[Sales]],0)</f>
        <v>0</v>
      </c>
      <c r="AA63" t="str">
        <f t="shared" si="2"/>
        <v>Mar</v>
      </c>
      <c r="AB63">
        <f t="shared" si="3"/>
        <v>2026</v>
      </c>
      <c r="AC63" s="4" t="str">
        <f>IF(ECommerceData[[#This Row],[Sales]]&gt;=50000,"High Value",IF(ECommerceData[[#This Row],[Sales]]&gt;=10000,"Medium Value","Low Value"))</f>
        <v>Low Value</v>
      </c>
    </row>
    <row r="64" spans="1:29" x14ac:dyDescent="0.25">
      <c r="A64">
        <v>63</v>
      </c>
      <c r="B64" s="2">
        <v>46229</v>
      </c>
      <c r="C64" t="s">
        <v>102</v>
      </c>
      <c r="D64" t="s">
        <v>232</v>
      </c>
      <c r="E64" t="s">
        <v>42</v>
      </c>
      <c r="F64">
        <v>21</v>
      </c>
      <c r="G64" t="s">
        <v>139</v>
      </c>
      <c r="H64" t="s">
        <v>140</v>
      </c>
      <c r="I64" t="s">
        <v>141</v>
      </c>
      <c r="J64" t="s">
        <v>46</v>
      </c>
      <c r="K64" t="s">
        <v>47</v>
      </c>
      <c r="L64" t="s">
        <v>48</v>
      </c>
      <c r="M64" t="s">
        <v>49</v>
      </c>
      <c r="N64" t="s">
        <v>50</v>
      </c>
      <c r="O64">
        <v>5</v>
      </c>
      <c r="P64">
        <v>2183.27</v>
      </c>
      <c r="Q64">
        <v>0</v>
      </c>
      <c r="R64">
        <v>10916.35</v>
      </c>
      <c r="S64">
        <v>6822.93</v>
      </c>
      <c r="T64">
        <v>4093.41</v>
      </c>
      <c r="U64" t="s">
        <v>51</v>
      </c>
      <c r="V64" t="s">
        <v>52</v>
      </c>
      <c r="W64" t="s">
        <v>71</v>
      </c>
      <c r="X64" t="s">
        <v>125</v>
      </c>
      <c r="Y64">
        <v>5</v>
      </c>
      <c r="Z64">
        <f>IFERROR(ECommerceData[[#This Row],[Profit]]/ECommerceData[[#This Row],[Sales]],0)</f>
        <v>0.3749797322365076</v>
      </c>
      <c r="AA64" t="str">
        <f t="shared" si="2"/>
        <v>Jul</v>
      </c>
      <c r="AB64">
        <f t="shared" si="3"/>
        <v>2026</v>
      </c>
      <c r="AC64" s="4" t="str">
        <f>IF(ECommerceData[[#This Row],[Sales]]&gt;=50000,"High Value",IF(ECommerceData[[#This Row],[Sales]]&gt;=10000,"Medium Value","Low Value"))</f>
        <v>Medium Value</v>
      </c>
    </row>
    <row r="65" spans="1:29" x14ac:dyDescent="0.25">
      <c r="A65">
        <v>64</v>
      </c>
      <c r="B65" s="2">
        <v>46090</v>
      </c>
      <c r="C65" t="s">
        <v>162</v>
      </c>
      <c r="D65" t="s">
        <v>233</v>
      </c>
      <c r="E65" t="s">
        <v>27</v>
      </c>
      <c r="F65">
        <v>53</v>
      </c>
      <c r="G65" t="s">
        <v>57</v>
      </c>
      <c r="H65" t="s">
        <v>58</v>
      </c>
      <c r="I65" t="s">
        <v>45</v>
      </c>
      <c r="J65" t="s">
        <v>234</v>
      </c>
      <c r="K65" t="s">
        <v>235</v>
      </c>
      <c r="L65" t="s">
        <v>77</v>
      </c>
      <c r="M65" t="s">
        <v>236</v>
      </c>
      <c r="N65" t="s">
        <v>35</v>
      </c>
      <c r="O65">
        <v>4</v>
      </c>
      <c r="P65">
        <v>2033.43</v>
      </c>
      <c r="Q65">
        <v>0.25</v>
      </c>
      <c r="R65">
        <v>6100.28</v>
      </c>
      <c r="S65">
        <v>4429.59</v>
      </c>
      <c r="T65">
        <v>1670.69</v>
      </c>
      <c r="U65" t="s">
        <v>153</v>
      </c>
      <c r="V65" t="s">
        <v>52</v>
      </c>
      <c r="W65" t="s">
        <v>38</v>
      </c>
      <c r="X65" t="s">
        <v>39</v>
      </c>
      <c r="Y65">
        <v>6</v>
      </c>
      <c r="Z65">
        <f>IFERROR(ECommerceData[[#This Row],[Profit]]/ECommerceData[[#This Row],[Sales]],0)</f>
        <v>0.27387103542788199</v>
      </c>
      <c r="AA65" t="str">
        <f t="shared" si="2"/>
        <v>Mar</v>
      </c>
      <c r="AB65">
        <f t="shared" si="3"/>
        <v>2026</v>
      </c>
      <c r="AC65" s="4" t="str">
        <f>IF(ECommerceData[[#This Row],[Sales]]&gt;=50000,"High Value",IF(ECommerceData[[#This Row],[Sales]]&gt;=10000,"Medium Value","Low Value"))</f>
        <v>Low Value</v>
      </c>
    </row>
    <row r="66" spans="1:29" x14ac:dyDescent="0.25">
      <c r="A66">
        <v>65</v>
      </c>
      <c r="B66" s="2">
        <v>46081</v>
      </c>
      <c r="C66" t="s">
        <v>126</v>
      </c>
      <c r="D66" t="s">
        <v>237</v>
      </c>
      <c r="E66" t="s">
        <v>27</v>
      </c>
      <c r="F66">
        <v>47</v>
      </c>
      <c r="G66" t="s">
        <v>83</v>
      </c>
      <c r="H66" t="s">
        <v>84</v>
      </c>
      <c r="I66" t="s">
        <v>66</v>
      </c>
      <c r="J66" t="s">
        <v>206</v>
      </c>
      <c r="K66" t="s">
        <v>207</v>
      </c>
      <c r="L66" t="s">
        <v>48</v>
      </c>
      <c r="M66" t="s">
        <v>208</v>
      </c>
      <c r="N66" t="s">
        <v>209</v>
      </c>
      <c r="O66">
        <v>2</v>
      </c>
      <c r="P66">
        <v>3498.86</v>
      </c>
      <c r="Q66">
        <v>0.25</v>
      </c>
      <c r="R66">
        <v>5248.29</v>
      </c>
      <c r="S66">
        <v>3411.64</v>
      </c>
      <c r="T66">
        <v>-802.09</v>
      </c>
      <c r="U66" t="s">
        <v>80</v>
      </c>
      <c r="V66" t="s">
        <v>37</v>
      </c>
      <c r="W66" t="s">
        <v>38</v>
      </c>
      <c r="X66" t="s">
        <v>54</v>
      </c>
      <c r="Y66">
        <v>7</v>
      </c>
      <c r="Z66">
        <f>IFERROR(ECommerceData[[#This Row],[Profit]]/ECommerceData[[#This Row],[Sales]],0)</f>
        <v>-0.15282882615099394</v>
      </c>
      <c r="AA66" t="str">
        <f t="shared" ref="AA66:AA101" si="4">TEXT(B66,"mmm")</f>
        <v>Feb</v>
      </c>
      <c r="AB66">
        <f t="shared" ref="AB66:AB101" si="5">YEAR(B66)</f>
        <v>2026</v>
      </c>
      <c r="AC66" s="4" t="str">
        <f>IF(ECommerceData[[#This Row],[Sales]]&gt;=50000,"High Value",IF(ECommerceData[[#This Row],[Sales]]&gt;=10000,"Medium Value","Low Value"))</f>
        <v>Low Value</v>
      </c>
    </row>
    <row r="67" spans="1:29" x14ac:dyDescent="0.25">
      <c r="A67">
        <v>66</v>
      </c>
      <c r="B67" s="2">
        <v>46120</v>
      </c>
      <c r="C67" t="s">
        <v>238</v>
      </c>
      <c r="D67" t="s">
        <v>239</v>
      </c>
      <c r="E67" t="s">
        <v>42</v>
      </c>
      <c r="F67">
        <v>18</v>
      </c>
      <c r="G67" t="s">
        <v>43</v>
      </c>
      <c r="H67" t="s">
        <v>44</v>
      </c>
      <c r="I67" t="s">
        <v>45</v>
      </c>
      <c r="J67" t="s">
        <v>172</v>
      </c>
      <c r="K67" t="s">
        <v>173</v>
      </c>
      <c r="L67" t="s">
        <v>117</v>
      </c>
      <c r="M67" t="s">
        <v>118</v>
      </c>
      <c r="N67" t="s">
        <v>174</v>
      </c>
      <c r="O67">
        <v>2</v>
      </c>
      <c r="P67">
        <v>193.1</v>
      </c>
      <c r="Q67">
        <v>0.1</v>
      </c>
      <c r="R67">
        <v>347.59</v>
      </c>
      <c r="S67">
        <v>266.06</v>
      </c>
      <c r="T67">
        <v>81.53</v>
      </c>
      <c r="U67" t="s">
        <v>92</v>
      </c>
      <c r="V67" t="s">
        <v>52</v>
      </c>
      <c r="W67" t="s">
        <v>53</v>
      </c>
      <c r="X67" t="s">
        <v>54</v>
      </c>
      <c r="Y67">
        <v>3</v>
      </c>
      <c r="Z67">
        <f>IFERROR(ECommerceData[[#This Row],[Profit]]/ECommerceData[[#This Row],[Sales]],0)</f>
        <v>0.23455795621277944</v>
      </c>
      <c r="AA67" t="str">
        <f t="shared" si="4"/>
        <v>Apr</v>
      </c>
      <c r="AB67">
        <f t="shared" si="5"/>
        <v>2026</v>
      </c>
      <c r="AC67" s="4" t="str">
        <f>IF(ECommerceData[[#This Row],[Sales]]&gt;=50000,"High Value",IF(ECommerceData[[#This Row],[Sales]]&gt;=10000,"Medium Value","Low Value"))</f>
        <v>Low Value</v>
      </c>
    </row>
    <row r="68" spans="1:29" x14ac:dyDescent="0.25">
      <c r="A68">
        <v>67</v>
      </c>
      <c r="B68" s="2">
        <v>46273</v>
      </c>
      <c r="C68" t="s">
        <v>240</v>
      </c>
      <c r="D68" t="s">
        <v>241</v>
      </c>
      <c r="E68" t="s">
        <v>42</v>
      </c>
      <c r="F68">
        <v>30</v>
      </c>
      <c r="G68" t="s">
        <v>132</v>
      </c>
      <c r="H68" t="s">
        <v>133</v>
      </c>
      <c r="I68" t="s">
        <v>30</v>
      </c>
      <c r="J68" t="s">
        <v>234</v>
      </c>
      <c r="K68" t="s">
        <v>235</v>
      </c>
      <c r="L68" t="s">
        <v>77</v>
      </c>
      <c r="M68" t="s">
        <v>236</v>
      </c>
      <c r="N68" t="s">
        <v>35</v>
      </c>
      <c r="O68">
        <v>5</v>
      </c>
      <c r="P68">
        <v>2193.11</v>
      </c>
      <c r="Q68">
        <v>0.1</v>
      </c>
      <c r="R68">
        <v>0</v>
      </c>
      <c r="S68">
        <v>7031.27</v>
      </c>
      <c r="T68">
        <v>0</v>
      </c>
      <c r="U68" t="s">
        <v>51</v>
      </c>
      <c r="V68" t="s">
        <v>101</v>
      </c>
      <c r="W68" t="s">
        <v>53</v>
      </c>
      <c r="X68" t="s">
        <v>54</v>
      </c>
      <c r="Y68">
        <v>0</v>
      </c>
      <c r="Z68">
        <f>IFERROR(ECommerceData[[#This Row],[Profit]]/ECommerceData[[#This Row],[Sales]],0)</f>
        <v>0</v>
      </c>
      <c r="AA68" t="str">
        <f t="shared" si="4"/>
        <v>Sep</v>
      </c>
      <c r="AB68">
        <f t="shared" si="5"/>
        <v>2026</v>
      </c>
      <c r="AC68" s="4" t="str">
        <f>IF(ECommerceData[[#This Row],[Sales]]&gt;=50000,"High Value",IF(ECommerceData[[#This Row],[Sales]]&gt;=10000,"Medium Value","Low Value"))</f>
        <v>Low Value</v>
      </c>
    </row>
    <row r="69" spans="1:29" x14ac:dyDescent="0.25">
      <c r="A69">
        <v>68</v>
      </c>
      <c r="B69" s="2">
        <v>46142</v>
      </c>
      <c r="C69" t="s">
        <v>72</v>
      </c>
      <c r="D69" t="s">
        <v>242</v>
      </c>
      <c r="E69" t="s">
        <v>27</v>
      </c>
      <c r="F69">
        <v>49</v>
      </c>
      <c r="G69" t="s">
        <v>64</v>
      </c>
      <c r="H69" t="s">
        <v>65</v>
      </c>
      <c r="I69" t="s">
        <v>66</v>
      </c>
      <c r="J69" t="s">
        <v>158</v>
      </c>
      <c r="K69" t="s">
        <v>159</v>
      </c>
      <c r="L69" t="s">
        <v>48</v>
      </c>
      <c r="M69" t="s">
        <v>160</v>
      </c>
      <c r="N69" t="s">
        <v>161</v>
      </c>
      <c r="O69">
        <v>3</v>
      </c>
      <c r="P69">
        <v>29370.35</v>
      </c>
      <c r="Q69">
        <v>0.25</v>
      </c>
      <c r="R69">
        <v>66083.28</v>
      </c>
      <c r="S69">
        <v>52815.3</v>
      </c>
      <c r="T69">
        <v>13267.99</v>
      </c>
      <c r="U69" t="s">
        <v>36</v>
      </c>
      <c r="V69" t="s">
        <v>52</v>
      </c>
      <c r="W69" t="s">
        <v>38</v>
      </c>
      <c r="X69" t="s">
        <v>125</v>
      </c>
      <c r="Y69">
        <v>4</v>
      </c>
      <c r="Z69">
        <f>IFERROR(ECommerceData[[#This Row],[Profit]]/ECommerceData[[#This Row],[Sales]],0)</f>
        <v>0.20077680768872247</v>
      </c>
      <c r="AA69" t="str">
        <f t="shared" si="4"/>
        <v>Apr</v>
      </c>
      <c r="AB69">
        <f t="shared" si="5"/>
        <v>2026</v>
      </c>
      <c r="AC69" s="4" t="str">
        <f>IF(ECommerceData[[#This Row],[Sales]]&gt;=50000,"High Value",IF(ECommerceData[[#This Row],[Sales]]&gt;=10000,"Medium Value","Low Value"))</f>
        <v>High Value</v>
      </c>
    </row>
    <row r="70" spans="1:29" x14ac:dyDescent="0.25">
      <c r="A70">
        <v>69</v>
      </c>
      <c r="B70" s="2">
        <v>46192</v>
      </c>
      <c r="C70" t="s">
        <v>99</v>
      </c>
      <c r="D70" t="s">
        <v>243</v>
      </c>
      <c r="E70" t="s">
        <v>27</v>
      </c>
      <c r="F70">
        <v>22</v>
      </c>
      <c r="G70" t="s">
        <v>74</v>
      </c>
      <c r="H70" t="s">
        <v>29</v>
      </c>
      <c r="I70" t="s">
        <v>30</v>
      </c>
      <c r="J70" t="s">
        <v>234</v>
      </c>
      <c r="K70" t="s">
        <v>235</v>
      </c>
      <c r="L70" t="s">
        <v>77</v>
      </c>
      <c r="M70" t="s">
        <v>236</v>
      </c>
      <c r="N70" t="s">
        <v>35</v>
      </c>
      <c r="O70">
        <v>1</v>
      </c>
      <c r="P70">
        <v>2211.42</v>
      </c>
      <c r="Q70">
        <v>0.15</v>
      </c>
      <c r="R70">
        <v>1879.71</v>
      </c>
      <c r="S70">
        <v>1097.1500000000001</v>
      </c>
      <c r="T70">
        <v>782.55</v>
      </c>
      <c r="U70" t="s">
        <v>153</v>
      </c>
      <c r="V70" t="s">
        <v>52</v>
      </c>
      <c r="W70" t="s">
        <v>71</v>
      </c>
      <c r="X70" t="s">
        <v>54</v>
      </c>
      <c r="Y70">
        <v>4</v>
      </c>
      <c r="Z70">
        <f>IFERROR(ECommerceData[[#This Row],[Profit]]/ECommerceData[[#This Row],[Sales]],0)</f>
        <v>0.4163142186826691</v>
      </c>
      <c r="AA70" t="str">
        <f t="shared" si="4"/>
        <v>Jun</v>
      </c>
      <c r="AB70">
        <f t="shared" si="5"/>
        <v>2026</v>
      </c>
      <c r="AC70" s="4" t="str">
        <f>IF(ECommerceData[[#This Row],[Sales]]&gt;=50000,"High Value",IF(ECommerceData[[#This Row],[Sales]]&gt;=10000,"Medium Value","Low Value"))</f>
        <v>Low Value</v>
      </c>
    </row>
    <row r="71" spans="1:29" x14ac:dyDescent="0.25">
      <c r="A71">
        <v>70</v>
      </c>
      <c r="B71" s="2">
        <v>46226</v>
      </c>
      <c r="C71" t="s">
        <v>143</v>
      </c>
      <c r="D71" t="s">
        <v>244</v>
      </c>
      <c r="E71" t="s">
        <v>27</v>
      </c>
      <c r="F71">
        <v>33</v>
      </c>
      <c r="G71" t="s">
        <v>74</v>
      </c>
      <c r="H71" t="s">
        <v>29</v>
      </c>
      <c r="I71" t="s">
        <v>30</v>
      </c>
      <c r="J71" t="s">
        <v>145</v>
      </c>
      <c r="K71" t="s">
        <v>146</v>
      </c>
      <c r="L71" t="s">
        <v>33</v>
      </c>
      <c r="M71" t="s">
        <v>147</v>
      </c>
      <c r="N71" t="s">
        <v>148</v>
      </c>
      <c r="O71">
        <v>5</v>
      </c>
      <c r="P71">
        <v>1366.4</v>
      </c>
      <c r="Q71">
        <v>0.1</v>
      </c>
      <c r="R71">
        <v>6148.81</v>
      </c>
      <c r="S71">
        <v>4491.29</v>
      </c>
      <c r="T71">
        <v>1657.52</v>
      </c>
      <c r="U71" t="s">
        <v>92</v>
      </c>
      <c r="V71" t="s">
        <v>52</v>
      </c>
      <c r="W71" t="s">
        <v>38</v>
      </c>
      <c r="X71" t="s">
        <v>125</v>
      </c>
      <c r="Y71">
        <v>7</v>
      </c>
      <c r="Z71">
        <f>IFERROR(ECommerceData[[#This Row],[Profit]]/ECommerceData[[#This Row],[Sales]],0)</f>
        <v>0.26956760739069835</v>
      </c>
      <c r="AA71" t="str">
        <f t="shared" si="4"/>
        <v>Jul</v>
      </c>
      <c r="AB71">
        <f t="shared" si="5"/>
        <v>2026</v>
      </c>
      <c r="AC71" s="4" t="str">
        <f>IF(ECommerceData[[#This Row],[Sales]]&gt;=50000,"High Value",IF(ECommerceData[[#This Row],[Sales]]&gt;=10000,"Medium Value","Low Value"))</f>
        <v>Low Value</v>
      </c>
    </row>
    <row r="72" spans="1:29" x14ac:dyDescent="0.25">
      <c r="A72">
        <v>71</v>
      </c>
      <c r="B72" s="2">
        <v>46069</v>
      </c>
      <c r="C72" t="s">
        <v>81</v>
      </c>
      <c r="D72" t="s">
        <v>245</v>
      </c>
      <c r="E72" t="s">
        <v>27</v>
      </c>
      <c r="F72">
        <v>36</v>
      </c>
      <c r="G72" t="s">
        <v>64</v>
      </c>
      <c r="H72" t="s">
        <v>65</v>
      </c>
      <c r="I72" t="s">
        <v>66</v>
      </c>
      <c r="J72" t="s">
        <v>206</v>
      </c>
      <c r="K72" t="s">
        <v>207</v>
      </c>
      <c r="L72" t="s">
        <v>48</v>
      </c>
      <c r="M72" t="s">
        <v>208</v>
      </c>
      <c r="N72" t="s">
        <v>209</v>
      </c>
      <c r="O72">
        <v>1</v>
      </c>
      <c r="P72">
        <v>3460.57</v>
      </c>
      <c r="Q72">
        <v>0.25</v>
      </c>
      <c r="R72">
        <v>2595.4299999999998</v>
      </c>
      <c r="S72">
        <v>1691.89</v>
      </c>
      <c r="T72">
        <v>903.54</v>
      </c>
      <c r="U72" t="s">
        <v>92</v>
      </c>
      <c r="V72" t="s">
        <v>52</v>
      </c>
      <c r="W72" t="s">
        <v>71</v>
      </c>
      <c r="X72" t="s">
        <v>54</v>
      </c>
      <c r="Y72">
        <v>1</v>
      </c>
      <c r="Z72">
        <f>IFERROR(ECommerceData[[#This Row],[Profit]]/ECommerceData[[#This Row],[Sales]],0)</f>
        <v>0.34812728526679587</v>
      </c>
      <c r="AA72" t="str">
        <f t="shared" si="4"/>
        <v>Feb</v>
      </c>
      <c r="AB72">
        <f t="shared" si="5"/>
        <v>2026</v>
      </c>
      <c r="AC72" s="4" t="str">
        <f>IF(ECommerceData[[#This Row],[Sales]]&gt;=50000,"High Value",IF(ECommerceData[[#This Row],[Sales]]&gt;=10000,"Medium Value","Low Value"))</f>
        <v>Low Value</v>
      </c>
    </row>
    <row r="73" spans="1:29" x14ac:dyDescent="0.25">
      <c r="A73">
        <v>72</v>
      </c>
      <c r="B73" s="2">
        <v>46097</v>
      </c>
      <c r="C73" t="s">
        <v>99</v>
      </c>
      <c r="D73" t="s">
        <v>246</v>
      </c>
      <c r="E73" t="s">
        <v>27</v>
      </c>
      <c r="F73">
        <v>49</v>
      </c>
      <c r="G73" t="s">
        <v>113</v>
      </c>
      <c r="H73" t="s">
        <v>113</v>
      </c>
      <c r="I73" t="s">
        <v>45</v>
      </c>
      <c r="J73" t="s">
        <v>172</v>
      </c>
      <c r="K73" t="s">
        <v>173</v>
      </c>
      <c r="L73" t="s">
        <v>117</v>
      </c>
      <c r="M73" t="s">
        <v>118</v>
      </c>
      <c r="N73" t="s">
        <v>174</v>
      </c>
      <c r="O73">
        <v>4</v>
      </c>
      <c r="P73">
        <v>182.37</v>
      </c>
      <c r="Q73">
        <v>0.05</v>
      </c>
      <c r="R73">
        <v>693.02</v>
      </c>
      <c r="S73">
        <v>430.22</v>
      </c>
      <c r="T73">
        <v>262.8</v>
      </c>
      <c r="U73" t="s">
        <v>80</v>
      </c>
      <c r="V73" t="s">
        <v>52</v>
      </c>
      <c r="W73" t="s">
        <v>38</v>
      </c>
      <c r="X73" t="s">
        <v>39</v>
      </c>
      <c r="Y73">
        <v>5</v>
      </c>
      <c r="Z73">
        <f>IFERROR(ECommerceData[[#This Row],[Profit]]/ECommerceData[[#This Row],[Sales]],0)</f>
        <v>0.37920983521399099</v>
      </c>
      <c r="AA73" t="str">
        <f t="shared" si="4"/>
        <v>Mar</v>
      </c>
      <c r="AB73">
        <f t="shared" si="5"/>
        <v>2026</v>
      </c>
      <c r="AC73" s="4" t="str">
        <f>IF(ECommerceData[[#This Row],[Sales]]&gt;=50000,"High Value",IF(ECommerceData[[#This Row],[Sales]]&gt;=10000,"Medium Value","Low Value"))</f>
        <v>Low Value</v>
      </c>
    </row>
    <row r="74" spans="1:29" x14ac:dyDescent="0.25">
      <c r="A74">
        <v>73</v>
      </c>
      <c r="B74" s="2">
        <v>46259</v>
      </c>
      <c r="C74" t="s">
        <v>40</v>
      </c>
      <c r="D74" t="s">
        <v>247</v>
      </c>
      <c r="E74" t="s">
        <v>42</v>
      </c>
      <c r="F74">
        <v>45</v>
      </c>
      <c r="G74" t="s">
        <v>57</v>
      </c>
      <c r="H74" t="s">
        <v>58</v>
      </c>
      <c r="I74" t="s">
        <v>45</v>
      </c>
      <c r="J74" t="s">
        <v>234</v>
      </c>
      <c r="K74" t="s">
        <v>235</v>
      </c>
      <c r="L74" t="s">
        <v>77</v>
      </c>
      <c r="M74" t="s">
        <v>236</v>
      </c>
      <c r="N74" t="s">
        <v>35</v>
      </c>
      <c r="O74">
        <v>3</v>
      </c>
      <c r="P74">
        <v>2273.41</v>
      </c>
      <c r="Q74">
        <v>0.15</v>
      </c>
      <c r="R74">
        <v>5797.2</v>
      </c>
      <c r="S74">
        <v>4616.25</v>
      </c>
      <c r="T74">
        <v>-677.03</v>
      </c>
      <c r="U74" t="s">
        <v>92</v>
      </c>
      <c r="V74" t="s">
        <v>37</v>
      </c>
      <c r="W74" t="s">
        <v>71</v>
      </c>
      <c r="X74" t="s">
        <v>54</v>
      </c>
      <c r="Y74">
        <v>1</v>
      </c>
      <c r="Z74">
        <f>IFERROR(ECommerceData[[#This Row],[Profit]]/ECommerceData[[#This Row],[Sales]],0)</f>
        <v>-0.11678568964327607</v>
      </c>
      <c r="AA74" t="str">
        <f t="shared" si="4"/>
        <v>Aug</v>
      </c>
      <c r="AB74">
        <f t="shared" si="5"/>
        <v>2026</v>
      </c>
      <c r="AC74" s="4" t="str">
        <f>IF(ECommerceData[[#This Row],[Sales]]&gt;=50000,"High Value",IF(ECommerceData[[#This Row],[Sales]]&gt;=10000,"Medium Value","Low Value"))</f>
        <v>Low Value</v>
      </c>
    </row>
    <row r="75" spans="1:29" x14ac:dyDescent="0.25">
      <c r="A75">
        <v>74</v>
      </c>
      <c r="B75" s="2">
        <v>46124</v>
      </c>
      <c r="C75" t="s">
        <v>218</v>
      </c>
      <c r="D75" t="s">
        <v>248</v>
      </c>
      <c r="E75" t="s">
        <v>42</v>
      </c>
      <c r="F75">
        <v>35</v>
      </c>
      <c r="G75" t="s">
        <v>64</v>
      </c>
      <c r="H75" t="s">
        <v>65</v>
      </c>
      <c r="I75" t="s">
        <v>66</v>
      </c>
      <c r="J75" t="s">
        <v>177</v>
      </c>
      <c r="K75" t="s">
        <v>178</v>
      </c>
      <c r="L75" t="s">
        <v>117</v>
      </c>
      <c r="M75" t="s">
        <v>118</v>
      </c>
      <c r="N75" t="s">
        <v>179</v>
      </c>
      <c r="O75">
        <v>1</v>
      </c>
      <c r="P75">
        <v>331.6</v>
      </c>
      <c r="Q75">
        <v>0.2</v>
      </c>
      <c r="R75">
        <v>265.27999999999997</v>
      </c>
      <c r="S75">
        <v>176.72</v>
      </c>
      <c r="T75">
        <v>88.56</v>
      </c>
      <c r="U75" t="s">
        <v>36</v>
      </c>
      <c r="V75" t="s">
        <v>52</v>
      </c>
      <c r="W75" t="s">
        <v>53</v>
      </c>
      <c r="X75" t="s">
        <v>125</v>
      </c>
      <c r="Y75">
        <v>6</v>
      </c>
      <c r="Z75">
        <f>IFERROR(ECommerceData[[#This Row],[Profit]]/ECommerceData[[#This Row],[Sales]],0)</f>
        <v>0.33383594692400487</v>
      </c>
      <c r="AA75" t="str">
        <f t="shared" si="4"/>
        <v>Apr</v>
      </c>
      <c r="AB75">
        <f t="shared" si="5"/>
        <v>2026</v>
      </c>
      <c r="AC75" s="4" t="str">
        <f>IF(ECommerceData[[#This Row],[Sales]]&gt;=50000,"High Value",IF(ECommerceData[[#This Row],[Sales]]&gt;=10000,"Medium Value","Low Value"))</f>
        <v>Low Value</v>
      </c>
    </row>
    <row r="76" spans="1:29" x14ac:dyDescent="0.25">
      <c r="A76">
        <v>75</v>
      </c>
      <c r="B76" s="2">
        <v>46048</v>
      </c>
      <c r="C76" t="s">
        <v>151</v>
      </c>
      <c r="D76" t="s">
        <v>249</v>
      </c>
      <c r="E76" t="s">
        <v>42</v>
      </c>
      <c r="F76">
        <v>26</v>
      </c>
      <c r="G76" t="s">
        <v>43</v>
      </c>
      <c r="H76" t="s">
        <v>44</v>
      </c>
      <c r="I76" t="s">
        <v>45</v>
      </c>
      <c r="J76" t="s">
        <v>177</v>
      </c>
      <c r="K76" t="s">
        <v>178</v>
      </c>
      <c r="L76" t="s">
        <v>117</v>
      </c>
      <c r="M76" t="s">
        <v>118</v>
      </c>
      <c r="N76" t="s">
        <v>179</v>
      </c>
      <c r="O76">
        <v>3</v>
      </c>
      <c r="P76">
        <v>369.3</v>
      </c>
      <c r="Q76">
        <v>0.05</v>
      </c>
      <c r="R76">
        <v>1052.51</v>
      </c>
      <c r="S76">
        <v>763.8</v>
      </c>
      <c r="T76">
        <v>288.70999999999998</v>
      </c>
      <c r="U76" t="s">
        <v>36</v>
      </c>
      <c r="V76" t="s">
        <v>52</v>
      </c>
      <c r="W76" t="s">
        <v>53</v>
      </c>
      <c r="X76" t="s">
        <v>125</v>
      </c>
      <c r="Y76">
        <v>2</v>
      </c>
      <c r="Z76">
        <f>IFERROR(ECommerceData[[#This Row],[Profit]]/ECommerceData[[#This Row],[Sales]],0)</f>
        <v>0.27430618236406301</v>
      </c>
      <c r="AA76" t="str">
        <f t="shared" si="4"/>
        <v>Jan</v>
      </c>
      <c r="AB76">
        <f t="shared" si="5"/>
        <v>2026</v>
      </c>
      <c r="AC76" s="4" t="str">
        <f>IF(ECommerceData[[#This Row],[Sales]]&gt;=50000,"High Value",IF(ECommerceData[[#This Row],[Sales]]&gt;=10000,"Medium Value","Low Value"))</f>
        <v>Low Value</v>
      </c>
    </row>
    <row r="77" spans="1:29" x14ac:dyDescent="0.25">
      <c r="A77">
        <v>76</v>
      </c>
      <c r="B77" s="2">
        <v>46043</v>
      </c>
      <c r="C77" t="s">
        <v>154</v>
      </c>
      <c r="D77" t="s">
        <v>250</v>
      </c>
      <c r="E77" t="s">
        <v>27</v>
      </c>
      <c r="F77">
        <v>30</v>
      </c>
      <c r="G77" t="s">
        <v>57</v>
      </c>
      <c r="H77" t="s">
        <v>58</v>
      </c>
      <c r="I77" t="s">
        <v>45</v>
      </c>
      <c r="J77" t="s">
        <v>234</v>
      </c>
      <c r="K77" t="s">
        <v>235</v>
      </c>
      <c r="L77" t="s">
        <v>77</v>
      </c>
      <c r="M77" t="s">
        <v>236</v>
      </c>
      <c r="N77" t="s">
        <v>35</v>
      </c>
      <c r="O77">
        <v>1</v>
      </c>
      <c r="P77">
        <v>2235.0100000000002</v>
      </c>
      <c r="Q77">
        <v>0.25</v>
      </c>
      <c r="R77">
        <v>1676.26</v>
      </c>
      <c r="S77">
        <v>1025.0999999999999</v>
      </c>
      <c r="T77">
        <v>651.16</v>
      </c>
      <c r="U77" t="s">
        <v>51</v>
      </c>
      <c r="V77" t="s">
        <v>52</v>
      </c>
      <c r="W77" t="s">
        <v>53</v>
      </c>
      <c r="X77" t="s">
        <v>54</v>
      </c>
      <c r="Y77">
        <v>3</v>
      </c>
      <c r="Z77">
        <f>IFERROR(ECommerceData[[#This Row],[Profit]]/ECommerceData[[#This Row],[Sales]],0)</f>
        <v>0.38846002410127306</v>
      </c>
      <c r="AA77" t="str">
        <f t="shared" si="4"/>
        <v>Jan</v>
      </c>
      <c r="AB77">
        <f t="shared" si="5"/>
        <v>2026</v>
      </c>
      <c r="AC77" s="4" t="str">
        <f>IF(ECommerceData[[#This Row],[Sales]]&gt;=50000,"High Value",IF(ECommerceData[[#This Row],[Sales]]&gt;=10000,"Medium Value","Low Value"))</f>
        <v>Low Value</v>
      </c>
    </row>
    <row r="78" spans="1:29" x14ac:dyDescent="0.25">
      <c r="A78">
        <v>77</v>
      </c>
      <c r="B78" s="2">
        <v>46279</v>
      </c>
      <c r="C78" t="s">
        <v>99</v>
      </c>
      <c r="D78" t="s">
        <v>251</v>
      </c>
      <c r="E78" t="s">
        <v>27</v>
      </c>
      <c r="F78">
        <v>47</v>
      </c>
      <c r="G78" t="s">
        <v>57</v>
      </c>
      <c r="H78" t="s">
        <v>58</v>
      </c>
      <c r="I78" t="s">
        <v>45</v>
      </c>
      <c r="J78" t="s">
        <v>107</v>
      </c>
      <c r="K78" t="s">
        <v>108</v>
      </c>
      <c r="L78" t="s">
        <v>89</v>
      </c>
      <c r="M78" t="s">
        <v>109</v>
      </c>
      <c r="N78" t="s">
        <v>110</v>
      </c>
      <c r="O78">
        <v>3</v>
      </c>
      <c r="P78">
        <v>4872.6400000000003</v>
      </c>
      <c r="Q78">
        <v>0.15</v>
      </c>
      <c r="R78">
        <v>12425.24</v>
      </c>
      <c r="S78">
        <v>10091.44</v>
      </c>
      <c r="T78">
        <v>2333.81</v>
      </c>
      <c r="U78" t="s">
        <v>36</v>
      </c>
      <c r="V78" t="s">
        <v>52</v>
      </c>
      <c r="W78" t="s">
        <v>38</v>
      </c>
      <c r="X78" t="s">
        <v>39</v>
      </c>
      <c r="Y78">
        <v>6</v>
      </c>
      <c r="Z78">
        <f>IFERROR(ECommerceData[[#This Row],[Profit]]/ECommerceData[[#This Row],[Sales]],0)</f>
        <v>0.18782816267532859</v>
      </c>
      <c r="AA78" t="str">
        <f t="shared" si="4"/>
        <v>Sep</v>
      </c>
      <c r="AB78">
        <f t="shared" si="5"/>
        <v>2026</v>
      </c>
      <c r="AC78" s="4" t="str">
        <f>IF(ECommerceData[[#This Row],[Sales]]&gt;=50000,"High Value",IF(ECommerceData[[#This Row],[Sales]]&gt;=10000,"Medium Value","Low Value"))</f>
        <v>Medium Value</v>
      </c>
    </row>
    <row r="79" spans="1:29" x14ac:dyDescent="0.25">
      <c r="A79">
        <v>78</v>
      </c>
      <c r="B79" s="2">
        <v>46226</v>
      </c>
      <c r="C79" t="s">
        <v>156</v>
      </c>
      <c r="D79" t="s">
        <v>252</v>
      </c>
      <c r="E79" t="s">
        <v>42</v>
      </c>
      <c r="F79">
        <v>55</v>
      </c>
      <c r="G79" t="s">
        <v>139</v>
      </c>
      <c r="H79" t="s">
        <v>140</v>
      </c>
      <c r="I79" t="s">
        <v>141</v>
      </c>
      <c r="J79" t="s">
        <v>190</v>
      </c>
      <c r="K79" t="s">
        <v>191</v>
      </c>
      <c r="L79" t="s">
        <v>33</v>
      </c>
      <c r="M79" t="s">
        <v>192</v>
      </c>
      <c r="N79" t="s">
        <v>193</v>
      </c>
      <c r="O79">
        <v>1</v>
      </c>
      <c r="P79">
        <v>3386.04</v>
      </c>
      <c r="Q79">
        <v>0</v>
      </c>
      <c r="R79">
        <v>3386.04</v>
      </c>
      <c r="S79">
        <v>2178.81</v>
      </c>
      <c r="T79">
        <v>1207.22</v>
      </c>
      <c r="U79" t="s">
        <v>153</v>
      </c>
      <c r="V79" t="s">
        <v>52</v>
      </c>
      <c r="W79" t="s">
        <v>53</v>
      </c>
      <c r="X79" t="s">
        <v>54</v>
      </c>
      <c r="Y79">
        <v>4</v>
      </c>
      <c r="Z79">
        <f>IFERROR(ECommerceData[[#This Row],[Profit]]/ECommerceData[[#This Row],[Sales]],0)</f>
        <v>0.35652857024725049</v>
      </c>
      <c r="AA79" t="str">
        <f t="shared" si="4"/>
        <v>Jul</v>
      </c>
      <c r="AB79">
        <f t="shared" si="5"/>
        <v>2026</v>
      </c>
      <c r="AC79" s="4" t="str">
        <f>IF(ECommerceData[[#This Row],[Sales]]&gt;=50000,"High Value",IF(ECommerceData[[#This Row],[Sales]]&gt;=10000,"Medium Value","Low Value"))</f>
        <v>Low Value</v>
      </c>
    </row>
    <row r="80" spans="1:29" x14ac:dyDescent="0.25">
      <c r="A80">
        <v>79</v>
      </c>
      <c r="B80" s="2">
        <v>46078</v>
      </c>
      <c r="C80" t="s">
        <v>253</v>
      </c>
      <c r="D80" t="s">
        <v>254</v>
      </c>
      <c r="E80" t="s">
        <v>27</v>
      </c>
      <c r="F80">
        <v>47</v>
      </c>
      <c r="G80" t="s">
        <v>113</v>
      </c>
      <c r="H80" t="s">
        <v>113</v>
      </c>
      <c r="I80" t="s">
        <v>45</v>
      </c>
      <c r="J80" t="s">
        <v>177</v>
      </c>
      <c r="K80" t="s">
        <v>178</v>
      </c>
      <c r="L80" t="s">
        <v>117</v>
      </c>
      <c r="M80" t="s">
        <v>118</v>
      </c>
      <c r="N80" t="s">
        <v>179</v>
      </c>
      <c r="O80">
        <v>1</v>
      </c>
      <c r="P80">
        <v>358.37</v>
      </c>
      <c r="Q80">
        <v>0.2</v>
      </c>
      <c r="R80">
        <v>0</v>
      </c>
      <c r="S80">
        <v>188.85</v>
      </c>
      <c r="T80">
        <v>0</v>
      </c>
      <c r="U80" t="s">
        <v>92</v>
      </c>
      <c r="V80" t="s">
        <v>101</v>
      </c>
      <c r="W80" t="s">
        <v>53</v>
      </c>
      <c r="X80" t="s">
        <v>54</v>
      </c>
      <c r="Y80">
        <v>0</v>
      </c>
      <c r="Z80">
        <f>IFERROR(ECommerceData[[#This Row],[Profit]]/ECommerceData[[#This Row],[Sales]],0)</f>
        <v>0</v>
      </c>
      <c r="AA80" t="str">
        <f t="shared" si="4"/>
        <v>Feb</v>
      </c>
      <c r="AB80">
        <f t="shared" si="5"/>
        <v>2026</v>
      </c>
      <c r="AC80" s="4" t="str">
        <f>IF(ECommerceData[[#This Row],[Sales]]&gt;=50000,"High Value",IF(ECommerceData[[#This Row],[Sales]]&gt;=10000,"Medium Value","Low Value"))</f>
        <v>Low Value</v>
      </c>
    </row>
    <row r="81" spans="1:29" x14ac:dyDescent="0.25">
      <c r="A81">
        <v>80</v>
      </c>
      <c r="B81" s="2">
        <v>46082</v>
      </c>
      <c r="C81" t="s">
        <v>170</v>
      </c>
      <c r="D81" t="s">
        <v>255</v>
      </c>
      <c r="E81" t="s">
        <v>42</v>
      </c>
      <c r="F81">
        <v>41</v>
      </c>
      <c r="G81" t="s">
        <v>132</v>
      </c>
      <c r="H81" t="s">
        <v>133</v>
      </c>
      <c r="I81" t="s">
        <v>30</v>
      </c>
      <c r="J81" t="s">
        <v>158</v>
      </c>
      <c r="K81" t="s">
        <v>159</v>
      </c>
      <c r="L81" t="s">
        <v>48</v>
      </c>
      <c r="M81" t="s">
        <v>160</v>
      </c>
      <c r="N81" t="s">
        <v>161</v>
      </c>
      <c r="O81">
        <v>1</v>
      </c>
      <c r="P81">
        <v>26904.44</v>
      </c>
      <c r="Q81">
        <v>0.15</v>
      </c>
      <c r="R81">
        <v>22868.78</v>
      </c>
      <c r="S81">
        <v>13901.22</v>
      </c>
      <c r="T81">
        <v>8967.56</v>
      </c>
      <c r="U81" t="s">
        <v>80</v>
      </c>
      <c r="V81" t="s">
        <v>52</v>
      </c>
      <c r="W81" t="s">
        <v>71</v>
      </c>
      <c r="X81" t="s">
        <v>125</v>
      </c>
      <c r="Y81">
        <v>5</v>
      </c>
      <c r="Z81">
        <f>IFERROR(ECommerceData[[#This Row],[Profit]]/ECommerceData[[#This Row],[Sales]],0)</f>
        <v>0.39213110625053021</v>
      </c>
      <c r="AA81" t="str">
        <f t="shared" si="4"/>
        <v>Mar</v>
      </c>
      <c r="AB81">
        <f t="shared" si="5"/>
        <v>2026</v>
      </c>
      <c r="AC81" s="4" t="str">
        <f>IF(ECommerceData[[#This Row],[Sales]]&gt;=50000,"High Value",IF(ECommerceData[[#This Row],[Sales]]&gt;=10000,"Medium Value","Low Value"))</f>
        <v>Medium Value</v>
      </c>
    </row>
    <row r="82" spans="1:29" x14ac:dyDescent="0.25">
      <c r="A82">
        <v>81</v>
      </c>
      <c r="B82" s="2">
        <v>46102</v>
      </c>
      <c r="C82" t="s">
        <v>40</v>
      </c>
      <c r="D82" t="s">
        <v>256</v>
      </c>
      <c r="E82" t="s">
        <v>27</v>
      </c>
      <c r="F82">
        <v>41</v>
      </c>
      <c r="G82" t="s">
        <v>64</v>
      </c>
      <c r="H82" t="s">
        <v>65</v>
      </c>
      <c r="I82" t="s">
        <v>66</v>
      </c>
      <c r="J82" t="s">
        <v>206</v>
      </c>
      <c r="K82" t="s">
        <v>207</v>
      </c>
      <c r="L82" t="s">
        <v>48</v>
      </c>
      <c r="M82" t="s">
        <v>208</v>
      </c>
      <c r="N82" t="s">
        <v>209</v>
      </c>
      <c r="O82">
        <v>4</v>
      </c>
      <c r="P82">
        <v>3580.96</v>
      </c>
      <c r="Q82">
        <v>0.1</v>
      </c>
      <c r="R82">
        <v>12891.44</v>
      </c>
      <c r="S82">
        <v>7578.26</v>
      </c>
      <c r="T82">
        <v>5313.18</v>
      </c>
      <c r="U82" t="s">
        <v>36</v>
      </c>
      <c r="V82" t="s">
        <v>52</v>
      </c>
      <c r="W82" t="s">
        <v>53</v>
      </c>
      <c r="X82" t="s">
        <v>54</v>
      </c>
      <c r="Y82">
        <v>2</v>
      </c>
      <c r="Z82">
        <f>IFERROR(ECommerceData[[#This Row],[Profit]]/ECommerceData[[#This Row],[Sales]],0)</f>
        <v>0.41214790589724654</v>
      </c>
      <c r="AA82" t="str">
        <f t="shared" si="4"/>
        <v>Mar</v>
      </c>
      <c r="AB82">
        <f t="shared" si="5"/>
        <v>2026</v>
      </c>
      <c r="AC82" s="4" t="str">
        <f>IF(ECommerceData[[#This Row],[Sales]]&gt;=50000,"High Value",IF(ECommerceData[[#This Row],[Sales]]&gt;=10000,"Medium Value","Low Value"))</f>
        <v>Medium Value</v>
      </c>
    </row>
    <row r="83" spans="1:29" x14ac:dyDescent="0.25">
      <c r="A83">
        <v>82</v>
      </c>
      <c r="B83" s="2">
        <v>46206</v>
      </c>
      <c r="C83" t="s">
        <v>72</v>
      </c>
      <c r="D83" t="s">
        <v>257</v>
      </c>
      <c r="E83" t="s">
        <v>27</v>
      </c>
      <c r="F83">
        <v>21</v>
      </c>
      <c r="G83" t="s">
        <v>28</v>
      </c>
      <c r="H83" t="s">
        <v>29</v>
      </c>
      <c r="I83" t="s">
        <v>30</v>
      </c>
      <c r="J83" t="s">
        <v>75</v>
      </c>
      <c r="K83" t="s">
        <v>76</v>
      </c>
      <c r="L83" t="s">
        <v>77</v>
      </c>
      <c r="M83" t="s">
        <v>78</v>
      </c>
      <c r="N83" t="s">
        <v>79</v>
      </c>
      <c r="O83">
        <v>3</v>
      </c>
      <c r="P83">
        <v>422.08</v>
      </c>
      <c r="Q83">
        <v>0</v>
      </c>
      <c r="R83">
        <v>1266.25</v>
      </c>
      <c r="S83">
        <v>1022.83</v>
      </c>
      <c r="T83">
        <v>243.42</v>
      </c>
      <c r="U83" t="s">
        <v>92</v>
      </c>
      <c r="V83" t="s">
        <v>52</v>
      </c>
      <c r="W83" t="s">
        <v>38</v>
      </c>
      <c r="X83" t="s">
        <v>39</v>
      </c>
      <c r="Y83">
        <v>1</v>
      </c>
      <c r="Z83">
        <f>IFERROR(ECommerceData[[#This Row],[Profit]]/ECommerceData[[#This Row],[Sales]],0)</f>
        <v>0.19223692003948667</v>
      </c>
      <c r="AA83" t="str">
        <f t="shared" si="4"/>
        <v>Jul</v>
      </c>
      <c r="AB83">
        <f t="shared" si="5"/>
        <v>2026</v>
      </c>
      <c r="AC83" s="4" t="str">
        <f>IF(ECommerceData[[#This Row],[Sales]]&gt;=50000,"High Value",IF(ECommerceData[[#This Row],[Sales]]&gt;=10000,"Medium Value","Low Value"))</f>
        <v>Low Value</v>
      </c>
    </row>
    <row r="84" spans="1:29" x14ac:dyDescent="0.25">
      <c r="A84">
        <v>83</v>
      </c>
      <c r="B84" s="2">
        <v>46128</v>
      </c>
      <c r="C84" t="s">
        <v>188</v>
      </c>
      <c r="D84" t="s">
        <v>258</v>
      </c>
      <c r="E84" t="s">
        <v>27</v>
      </c>
      <c r="F84">
        <v>35</v>
      </c>
      <c r="G84" t="s">
        <v>74</v>
      </c>
      <c r="H84" t="s">
        <v>29</v>
      </c>
      <c r="I84" t="s">
        <v>30</v>
      </c>
      <c r="J84" t="s">
        <v>115</v>
      </c>
      <c r="K84" t="s">
        <v>116</v>
      </c>
      <c r="L84" t="s">
        <v>117</v>
      </c>
      <c r="M84" t="s">
        <v>118</v>
      </c>
      <c r="N84" t="s">
        <v>119</v>
      </c>
      <c r="O84">
        <v>2</v>
      </c>
      <c r="P84">
        <v>610.37</v>
      </c>
      <c r="Q84">
        <v>0.05</v>
      </c>
      <c r="R84">
        <v>1159.7</v>
      </c>
      <c r="S84">
        <v>764.07</v>
      </c>
      <c r="T84">
        <v>395.63</v>
      </c>
      <c r="U84" t="s">
        <v>51</v>
      </c>
      <c r="V84" t="s">
        <v>52</v>
      </c>
      <c r="W84" t="s">
        <v>38</v>
      </c>
      <c r="X84" t="s">
        <v>125</v>
      </c>
      <c r="Y84">
        <v>7</v>
      </c>
      <c r="Z84">
        <f>IFERROR(ECommerceData[[#This Row],[Profit]]/ECommerceData[[#This Row],[Sales]],0)</f>
        <v>0.34114857290678624</v>
      </c>
      <c r="AA84" t="str">
        <f t="shared" si="4"/>
        <v>Apr</v>
      </c>
      <c r="AB84">
        <f t="shared" si="5"/>
        <v>2026</v>
      </c>
      <c r="AC84" s="4" t="str">
        <f>IF(ECommerceData[[#This Row],[Sales]]&gt;=50000,"High Value",IF(ECommerceData[[#This Row],[Sales]]&gt;=10000,"Medium Value","Low Value"))</f>
        <v>Low Value</v>
      </c>
    </row>
    <row r="85" spans="1:29" x14ac:dyDescent="0.25">
      <c r="A85">
        <v>84</v>
      </c>
      <c r="B85" s="2">
        <v>46151</v>
      </c>
      <c r="C85" t="s">
        <v>81</v>
      </c>
      <c r="D85" t="s">
        <v>259</v>
      </c>
      <c r="E85" t="s">
        <v>27</v>
      </c>
      <c r="F85">
        <v>34</v>
      </c>
      <c r="G85" t="s">
        <v>132</v>
      </c>
      <c r="H85" t="s">
        <v>133</v>
      </c>
      <c r="I85" t="s">
        <v>30</v>
      </c>
      <c r="J85" t="s">
        <v>206</v>
      </c>
      <c r="K85" t="s">
        <v>207</v>
      </c>
      <c r="L85" t="s">
        <v>48</v>
      </c>
      <c r="M85" t="s">
        <v>208</v>
      </c>
      <c r="N85" t="s">
        <v>209</v>
      </c>
      <c r="O85">
        <v>1</v>
      </c>
      <c r="P85">
        <v>3242.26</v>
      </c>
      <c r="Q85">
        <v>0.1</v>
      </c>
      <c r="R85">
        <v>2918.04</v>
      </c>
      <c r="S85">
        <v>2245.71</v>
      </c>
      <c r="T85">
        <v>672.33</v>
      </c>
      <c r="U85" t="s">
        <v>36</v>
      </c>
      <c r="V85" t="s">
        <v>52</v>
      </c>
      <c r="W85" t="s">
        <v>38</v>
      </c>
      <c r="X85" t="s">
        <v>125</v>
      </c>
      <c r="Y85">
        <v>5</v>
      </c>
      <c r="Z85">
        <f>IFERROR(ECommerceData[[#This Row],[Profit]]/ECommerceData[[#This Row],[Sales]],0)</f>
        <v>0.23040465517950406</v>
      </c>
      <c r="AA85" t="str">
        <f t="shared" si="4"/>
        <v>May</v>
      </c>
      <c r="AB85">
        <f t="shared" si="5"/>
        <v>2026</v>
      </c>
      <c r="AC85" s="4" t="str">
        <f>IF(ECommerceData[[#This Row],[Sales]]&gt;=50000,"High Value",IF(ECommerceData[[#This Row],[Sales]]&gt;=10000,"Medium Value","Low Value"))</f>
        <v>Low Value</v>
      </c>
    </row>
    <row r="86" spans="1:29" x14ac:dyDescent="0.25">
      <c r="A86">
        <v>85</v>
      </c>
      <c r="B86" s="2">
        <v>46238</v>
      </c>
      <c r="C86" t="s">
        <v>260</v>
      </c>
      <c r="D86" t="s">
        <v>261</v>
      </c>
      <c r="E86" t="s">
        <v>27</v>
      </c>
      <c r="F86">
        <v>51</v>
      </c>
      <c r="G86" t="s">
        <v>139</v>
      </c>
      <c r="H86" t="s">
        <v>140</v>
      </c>
      <c r="I86" t="s">
        <v>141</v>
      </c>
      <c r="J86" t="s">
        <v>206</v>
      </c>
      <c r="K86" t="s">
        <v>207</v>
      </c>
      <c r="L86" t="s">
        <v>48</v>
      </c>
      <c r="M86" t="s">
        <v>208</v>
      </c>
      <c r="N86" t="s">
        <v>209</v>
      </c>
      <c r="O86">
        <v>1</v>
      </c>
      <c r="P86">
        <v>3483.37</v>
      </c>
      <c r="Q86">
        <v>0.1</v>
      </c>
      <c r="R86">
        <v>3135.03</v>
      </c>
      <c r="S86">
        <v>2204.48</v>
      </c>
      <c r="T86">
        <v>930.55</v>
      </c>
      <c r="U86" t="s">
        <v>92</v>
      </c>
      <c r="V86" t="s">
        <v>52</v>
      </c>
      <c r="W86" t="s">
        <v>71</v>
      </c>
      <c r="X86" t="s">
        <v>125</v>
      </c>
      <c r="Y86">
        <v>4</v>
      </c>
      <c r="Z86">
        <f>IFERROR(ECommerceData[[#This Row],[Profit]]/ECommerceData[[#This Row],[Sales]],0)</f>
        <v>0.29682331588533439</v>
      </c>
      <c r="AA86" t="str">
        <f t="shared" si="4"/>
        <v>Aug</v>
      </c>
      <c r="AB86">
        <f t="shared" si="5"/>
        <v>2026</v>
      </c>
      <c r="AC86" s="4" t="str">
        <f>IF(ECommerceData[[#This Row],[Sales]]&gt;=50000,"High Value",IF(ECommerceData[[#This Row],[Sales]]&gt;=10000,"Medium Value","Low Value"))</f>
        <v>Low Value</v>
      </c>
    </row>
    <row r="87" spans="1:29" x14ac:dyDescent="0.25">
      <c r="A87">
        <v>86</v>
      </c>
      <c r="B87" s="2">
        <v>46038</v>
      </c>
      <c r="C87" t="s">
        <v>188</v>
      </c>
      <c r="D87" t="s">
        <v>262</v>
      </c>
      <c r="E87" t="s">
        <v>42</v>
      </c>
      <c r="F87">
        <v>27</v>
      </c>
      <c r="G87" t="s">
        <v>28</v>
      </c>
      <c r="H87" t="s">
        <v>29</v>
      </c>
      <c r="I87" t="s">
        <v>30</v>
      </c>
      <c r="J87" t="s">
        <v>177</v>
      </c>
      <c r="K87" t="s">
        <v>178</v>
      </c>
      <c r="L87" t="s">
        <v>117</v>
      </c>
      <c r="M87" t="s">
        <v>118</v>
      </c>
      <c r="N87" t="s">
        <v>179</v>
      </c>
      <c r="O87">
        <v>4</v>
      </c>
      <c r="P87">
        <v>344.84</v>
      </c>
      <c r="Q87">
        <v>0</v>
      </c>
      <c r="R87">
        <v>1379.36</v>
      </c>
      <c r="S87">
        <v>962.33</v>
      </c>
      <c r="T87">
        <v>417.03</v>
      </c>
      <c r="U87" t="s">
        <v>36</v>
      </c>
      <c r="V87" t="s">
        <v>52</v>
      </c>
      <c r="W87" t="s">
        <v>38</v>
      </c>
      <c r="X87" t="s">
        <v>54</v>
      </c>
      <c r="Y87">
        <v>1</v>
      </c>
      <c r="Z87">
        <f>IFERROR(ECommerceData[[#This Row],[Profit]]/ECommerceData[[#This Row],[Sales]],0)</f>
        <v>0.30233586590882727</v>
      </c>
      <c r="AA87" t="str">
        <f t="shared" si="4"/>
        <v>Jan</v>
      </c>
      <c r="AB87">
        <f t="shared" si="5"/>
        <v>2026</v>
      </c>
      <c r="AC87" s="4" t="str">
        <f>IF(ECommerceData[[#This Row],[Sales]]&gt;=50000,"High Value",IF(ECommerceData[[#This Row],[Sales]]&gt;=10000,"Medium Value","Low Value"))</f>
        <v>Low Value</v>
      </c>
    </row>
    <row r="88" spans="1:29" x14ac:dyDescent="0.25">
      <c r="A88">
        <v>87</v>
      </c>
      <c r="B88" s="2">
        <v>46189</v>
      </c>
      <c r="C88" t="s">
        <v>165</v>
      </c>
      <c r="D88" t="s">
        <v>263</v>
      </c>
      <c r="E88" t="s">
        <v>27</v>
      </c>
      <c r="F88">
        <v>45</v>
      </c>
      <c r="G88" t="s">
        <v>64</v>
      </c>
      <c r="H88" t="s">
        <v>65</v>
      </c>
      <c r="I88" t="s">
        <v>66</v>
      </c>
      <c r="J88" t="s">
        <v>172</v>
      </c>
      <c r="K88" t="s">
        <v>173</v>
      </c>
      <c r="L88" t="s">
        <v>117</v>
      </c>
      <c r="M88" t="s">
        <v>118</v>
      </c>
      <c r="N88" t="s">
        <v>174</v>
      </c>
      <c r="O88">
        <v>3</v>
      </c>
      <c r="P88">
        <v>178.33</v>
      </c>
      <c r="Q88">
        <v>0.2</v>
      </c>
      <c r="R88">
        <v>428</v>
      </c>
      <c r="S88">
        <v>292.43</v>
      </c>
      <c r="T88">
        <v>-48.43</v>
      </c>
      <c r="U88" t="s">
        <v>153</v>
      </c>
      <c r="V88" t="s">
        <v>37</v>
      </c>
      <c r="W88" t="s">
        <v>38</v>
      </c>
      <c r="X88" t="s">
        <v>54</v>
      </c>
      <c r="Y88">
        <v>6</v>
      </c>
      <c r="Z88">
        <f>IFERROR(ECommerceData[[#This Row],[Profit]]/ECommerceData[[#This Row],[Sales]],0)</f>
        <v>-0.11315420560747663</v>
      </c>
      <c r="AA88" t="str">
        <f t="shared" si="4"/>
        <v>Jun</v>
      </c>
      <c r="AB88">
        <f t="shared" si="5"/>
        <v>2026</v>
      </c>
      <c r="AC88" s="4" t="str">
        <f>IF(ECommerceData[[#This Row],[Sales]]&gt;=50000,"High Value",IF(ECommerceData[[#This Row],[Sales]]&gt;=10000,"Medium Value","Low Value"))</f>
        <v>Low Value</v>
      </c>
    </row>
    <row r="89" spans="1:29" x14ac:dyDescent="0.25">
      <c r="A89">
        <v>88</v>
      </c>
      <c r="B89" s="2">
        <v>46196</v>
      </c>
      <c r="C89" t="s">
        <v>264</v>
      </c>
      <c r="D89" t="s">
        <v>265</v>
      </c>
      <c r="E89" t="s">
        <v>42</v>
      </c>
      <c r="F89">
        <v>22</v>
      </c>
      <c r="G89" t="s">
        <v>83</v>
      </c>
      <c r="H89" t="s">
        <v>84</v>
      </c>
      <c r="I89" t="s">
        <v>66</v>
      </c>
      <c r="J89" t="s">
        <v>75</v>
      </c>
      <c r="K89" t="s">
        <v>76</v>
      </c>
      <c r="L89" t="s">
        <v>77</v>
      </c>
      <c r="M89" t="s">
        <v>78</v>
      </c>
      <c r="N89" t="s">
        <v>79</v>
      </c>
      <c r="O89">
        <v>4</v>
      </c>
      <c r="P89">
        <v>470.67</v>
      </c>
      <c r="Q89">
        <v>0.1</v>
      </c>
      <c r="R89">
        <v>1694.39</v>
      </c>
      <c r="S89">
        <v>1156.29</v>
      </c>
      <c r="T89">
        <v>-230.01</v>
      </c>
      <c r="U89" t="s">
        <v>36</v>
      </c>
      <c r="V89" t="s">
        <v>37</v>
      </c>
      <c r="W89" t="s">
        <v>38</v>
      </c>
      <c r="X89" t="s">
        <v>39</v>
      </c>
      <c r="Y89">
        <v>2</v>
      </c>
      <c r="Z89">
        <f>IFERROR(ECommerceData[[#This Row],[Profit]]/ECommerceData[[#This Row],[Sales]],0)</f>
        <v>-0.13574796829537472</v>
      </c>
      <c r="AA89" t="str">
        <f t="shared" si="4"/>
        <v>Jun</v>
      </c>
      <c r="AB89">
        <f t="shared" si="5"/>
        <v>2026</v>
      </c>
      <c r="AC89" s="4" t="str">
        <f>IF(ECommerceData[[#This Row],[Sales]]&gt;=50000,"High Value",IF(ECommerceData[[#This Row],[Sales]]&gt;=10000,"Medium Value","Low Value"))</f>
        <v>Low Value</v>
      </c>
    </row>
    <row r="90" spans="1:29" x14ac:dyDescent="0.25">
      <c r="A90">
        <v>89</v>
      </c>
      <c r="B90" s="2">
        <v>46244</v>
      </c>
      <c r="C90" t="s">
        <v>266</v>
      </c>
      <c r="D90" t="s">
        <v>267</v>
      </c>
      <c r="E90" t="s">
        <v>27</v>
      </c>
      <c r="F90">
        <v>44</v>
      </c>
      <c r="G90" t="s">
        <v>74</v>
      </c>
      <c r="H90" t="s">
        <v>29</v>
      </c>
      <c r="I90" t="s">
        <v>30</v>
      </c>
      <c r="J90" t="s">
        <v>190</v>
      </c>
      <c r="K90" t="s">
        <v>191</v>
      </c>
      <c r="L90" t="s">
        <v>33</v>
      </c>
      <c r="M90" t="s">
        <v>192</v>
      </c>
      <c r="N90" t="s">
        <v>193</v>
      </c>
      <c r="O90">
        <v>2</v>
      </c>
      <c r="P90">
        <v>3236.08</v>
      </c>
      <c r="Q90">
        <v>0.2</v>
      </c>
      <c r="R90">
        <v>0</v>
      </c>
      <c r="S90">
        <v>4191.83</v>
      </c>
      <c r="T90">
        <v>0</v>
      </c>
      <c r="U90" t="s">
        <v>92</v>
      </c>
      <c r="V90" t="s">
        <v>101</v>
      </c>
      <c r="W90" t="s">
        <v>53</v>
      </c>
      <c r="X90" t="s">
        <v>54</v>
      </c>
      <c r="Y90">
        <v>0</v>
      </c>
      <c r="Z90">
        <f>IFERROR(ECommerceData[[#This Row],[Profit]]/ECommerceData[[#This Row],[Sales]],0)</f>
        <v>0</v>
      </c>
      <c r="AA90" t="str">
        <f t="shared" si="4"/>
        <v>Aug</v>
      </c>
      <c r="AB90">
        <f t="shared" si="5"/>
        <v>2026</v>
      </c>
      <c r="AC90" s="4" t="str">
        <f>IF(ECommerceData[[#This Row],[Sales]]&gt;=50000,"High Value",IF(ECommerceData[[#This Row],[Sales]]&gt;=10000,"Medium Value","Low Value"))</f>
        <v>Low Value</v>
      </c>
    </row>
    <row r="91" spans="1:29" x14ac:dyDescent="0.25">
      <c r="A91">
        <v>90</v>
      </c>
      <c r="B91" s="2">
        <v>46049</v>
      </c>
      <c r="C91" t="s">
        <v>268</v>
      </c>
      <c r="D91" t="s">
        <v>269</v>
      </c>
      <c r="E91" t="s">
        <v>42</v>
      </c>
      <c r="F91">
        <v>25</v>
      </c>
      <c r="G91" t="s">
        <v>57</v>
      </c>
      <c r="H91" t="s">
        <v>58</v>
      </c>
      <c r="I91" t="s">
        <v>45</v>
      </c>
      <c r="J91" t="s">
        <v>201</v>
      </c>
      <c r="K91" t="s">
        <v>202</v>
      </c>
      <c r="L91" t="s">
        <v>33</v>
      </c>
      <c r="M91" t="s">
        <v>203</v>
      </c>
      <c r="N91" t="s">
        <v>204</v>
      </c>
      <c r="O91">
        <v>3</v>
      </c>
      <c r="P91">
        <v>7826.12</v>
      </c>
      <c r="Q91">
        <v>0.2</v>
      </c>
      <c r="R91">
        <v>18782.689999999999</v>
      </c>
      <c r="S91">
        <v>11852.95</v>
      </c>
      <c r="T91">
        <v>-3749.64</v>
      </c>
      <c r="U91" t="s">
        <v>92</v>
      </c>
      <c r="V91" t="s">
        <v>37</v>
      </c>
      <c r="W91" t="s">
        <v>53</v>
      </c>
      <c r="X91" t="s">
        <v>39</v>
      </c>
      <c r="Y91">
        <v>7</v>
      </c>
      <c r="Z91">
        <f>IFERROR(ECommerceData[[#This Row],[Profit]]/ECommerceData[[#This Row],[Sales]],0)</f>
        <v>-0.19963274696009997</v>
      </c>
      <c r="AA91" t="str">
        <f t="shared" si="4"/>
        <v>Jan</v>
      </c>
      <c r="AB91">
        <f t="shared" si="5"/>
        <v>2026</v>
      </c>
      <c r="AC91" s="4" t="str">
        <f>IF(ECommerceData[[#This Row],[Sales]]&gt;=50000,"High Value",IF(ECommerceData[[#This Row],[Sales]]&gt;=10000,"Medium Value","Low Value"))</f>
        <v>Medium Value</v>
      </c>
    </row>
    <row r="92" spans="1:29" x14ac:dyDescent="0.25">
      <c r="A92">
        <v>91</v>
      </c>
      <c r="B92" s="2">
        <v>46242</v>
      </c>
      <c r="C92" t="s">
        <v>270</v>
      </c>
      <c r="D92" t="s">
        <v>271</v>
      </c>
      <c r="E92" t="s">
        <v>42</v>
      </c>
      <c r="F92">
        <v>39</v>
      </c>
      <c r="G92" t="s">
        <v>139</v>
      </c>
      <c r="H92" t="s">
        <v>140</v>
      </c>
      <c r="I92" t="s">
        <v>141</v>
      </c>
      <c r="J92" t="s">
        <v>115</v>
      </c>
      <c r="K92" t="s">
        <v>116</v>
      </c>
      <c r="L92" t="s">
        <v>117</v>
      </c>
      <c r="M92" t="s">
        <v>118</v>
      </c>
      <c r="N92" t="s">
        <v>119</v>
      </c>
      <c r="O92">
        <v>1</v>
      </c>
      <c r="P92">
        <v>613.08000000000004</v>
      </c>
      <c r="Q92">
        <v>0.25</v>
      </c>
      <c r="R92">
        <v>459.81</v>
      </c>
      <c r="S92">
        <v>358.22</v>
      </c>
      <c r="T92">
        <v>101.59</v>
      </c>
      <c r="U92" t="s">
        <v>92</v>
      </c>
      <c r="V92" t="s">
        <v>52</v>
      </c>
      <c r="W92" t="s">
        <v>38</v>
      </c>
      <c r="X92" t="s">
        <v>39</v>
      </c>
      <c r="Y92">
        <v>1</v>
      </c>
      <c r="Z92">
        <f>IFERROR(ECommerceData[[#This Row],[Profit]]/ECommerceData[[#This Row],[Sales]],0)</f>
        <v>0.22093908353450339</v>
      </c>
      <c r="AA92" t="str">
        <f t="shared" si="4"/>
        <v>Aug</v>
      </c>
      <c r="AB92">
        <f t="shared" si="5"/>
        <v>2026</v>
      </c>
      <c r="AC92" s="4" t="str">
        <f>IF(ECommerceData[[#This Row],[Sales]]&gt;=50000,"High Value",IF(ECommerceData[[#This Row],[Sales]]&gt;=10000,"Medium Value","Low Value"))</f>
        <v>Low Value</v>
      </c>
    </row>
    <row r="93" spans="1:29" x14ac:dyDescent="0.25">
      <c r="A93">
        <v>92</v>
      </c>
      <c r="B93" s="2">
        <v>46096</v>
      </c>
      <c r="C93" t="s">
        <v>272</v>
      </c>
      <c r="D93" t="s">
        <v>273</v>
      </c>
      <c r="E93" t="s">
        <v>42</v>
      </c>
      <c r="F93">
        <v>44</v>
      </c>
      <c r="G93" t="s">
        <v>43</v>
      </c>
      <c r="H93" t="s">
        <v>44</v>
      </c>
      <c r="I93" t="s">
        <v>45</v>
      </c>
      <c r="J93" t="s">
        <v>75</v>
      </c>
      <c r="K93" t="s">
        <v>76</v>
      </c>
      <c r="L93" t="s">
        <v>77</v>
      </c>
      <c r="M93" t="s">
        <v>78</v>
      </c>
      <c r="N93" t="s">
        <v>79</v>
      </c>
      <c r="O93">
        <v>1</v>
      </c>
      <c r="P93">
        <v>417.77</v>
      </c>
      <c r="Q93">
        <v>0.25</v>
      </c>
      <c r="R93">
        <v>313.33</v>
      </c>
      <c r="S93">
        <v>254.81</v>
      </c>
      <c r="T93">
        <v>58.52</v>
      </c>
      <c r="U93" t="s">
        <v>153</v>
      </c>
      <c r="V93" t="s">
        <v>52</v>
      </c>
      <c r="W93" t="s">
        <v>71</v>
      </c>
      <c r="X93" t="s">
        <v>39</v>
      </c>
      <c r="Y93">
        <v>6</v>
      </c>
      <c r="Z93">
        <f>IFERROR(ECommerceData[[#This Row],[Profit]]/ECommerceData[[#This Row],[Sales]],0)</f>
        <v>0.18676794433983343</v>
      </c>
      <c r="AA93" t="str">
        <f t="shared" si="4"/>
        <v>Mar</v>
      </c>
      <c r="AB93">
        <f t="shared" si="5"/>
        <v>2026</v>
      </c>
      <c r="AC93" s="4" t="str">
        <f>IF(ECommerceData[[#This Row],[Sales]]&gt;=50000,"High Value",IF(ECommerceData[[#This Row],[Sales]]&gt;=10000,"Medium Value","Low Value"))</f>
        <v>Low Value</v>
      </c>
    </row>
    <row r="94" spans="1:29" x14ac:dyDescent="0.25">
      <c r="A94">
        <v>93</v>
      </c>
      <c r="B94" s="2">
        <v>46212</v>
      </c>
      <c r="C94" t="s">
        <v>128</v>
      </c>
      <c r="D94" t="s">
        <v>274</v>
      </c>
      <c r="E94" t="s">
        <v>27</v>
      </c>
      <c r="F94">
        <v>35</v>
      </c>
      <c r="G94" t="s">
        <v>57</v>
      </c>
      <c r="H94" t="s">
        <v>58</v>
      </c>
      <c r="I94" t="s">
        <v>45</v>
      </c>
      <c r="J94" t="s">
        <v>145</v>
      </c>
      <c r="K94" t="s">
        <v>146</v>
      </c>
      <c r="L94" t="s">
        <v>33</v>
      </c>
      <c r="M94" t="s">
        <v>147</v>
      </c>
      <c r="N94" t="s">
        <v>148</v>
      </c>
      <c r="O94">
        <v>5</v>
      </c>
      <c r="P94">
        <v>1426.94</v>
      </c>
      <c r="Q94">
        <v>0</v>
      </c>
      <c r="R94">
        <v>0</v>
      </c>
      <c r="S94">
        <v>4404.54</v>
      </c>
      <c r="T94">
        <v>0</v>
      </c>
      <c r="U94" t="s">
        <v>153</v>
      </c>
      <c r="V94" t="s">
        <v>101</v>
      </c>
      <c r="W94" t="s">
        <v>53</v>
      </c>
      <c r="X94" t="s">
        <v>54</v>
      </c>
      <c r="Y94">
        <v>0</v>
      </c>
      <c r="Z94">
        <f>IFERROR(ECommerceData[[#This Row],[Profit]]/ECommerceData[[#This Row],[Sales]],0)</f>
        <v>0</v>
      </c>
      <c r="AA94" t="str">
        <f t="shared" si="4"/>
        <v>Jul</v>
      </c>
      <c r="AB94">
        <f t="shared" si="5"/>
        <v>2026</v>
      </c>
      <c r="AC94" s="4" t="str">
        <f>IF(ECommerceData[[#This Row],[Sales]]&gt;=50000,"High Value",IF(ECommerceData[[#This Row],[Sales]]&gt;=10000,"Medium Value","Low Value"))</f>
        <v>Low Value</v>
      </c>
    </row>
    <row r="95" spans="1:29" x14ac:dyDescent="0.25">
      <c r="A95">
        <v>94</v>
      </c>
      <c r="B95" s="2">
        <v>46271</v>
      </c>
      <c r="C95" t="s">
        <v>218</v>
      </c>
      <c r="D95" t="s">
        <v>275</v>
      </c>
      <c r="E95" t="s">
        <v>42</v>
      </c>
      <c r="F95">
        <v>51</v>
      </c>
      <c r="G95" t="s">
        <v>43</v>
      </c>
      <c r="H95" t="s">
        <v>44</v>
      </c>
      <c r="I95" t="s">
        <v>45</v>
      </c>
      <c r="J95" t="s">
        <v>234</v>
      </c>
      <c r="K95" t="s">
        <v>235</v>
      </c>
      <c r="L95" t="s">
        <v>77</v>
      </c>
      <c r="M95" t="s">
        <v>236</v>
      </c>
      <c r="N95" t="s">
        <v>35</v>
      </c>
      <c r="O95">
        <v>4</v>
      </c>
      <c r="P95">
        <v>2100.19</v>
      </c>
      <c r="Q95">
        <v>0.2</v>
      </c>
      <c r="R95">
        <v>6720.62</v>
      </c>
      <c r="S95">
        <v>4081.54</v>
      </c>
      <c r="T95">
        <v>2639.08</v>
      </c>
      <c r="U95" t="s">
        <v>92</v>
      </c>
      <c r="V95" t="s">
        <v>52</v>
      </c>
      <c r="W95" t="s">
        <v>38</v>
      </c>
      <c r="X95" t="s">
        <v>39</v>
      </c>
      <c r="Y95">
        <v>1</v>
      </c>
      <c r="Z95">
        <f>IFERROR(ECommerceData[[#This Row],[Profit]]/ECommerceData[[#This Row],[Sales]],0)</f>
        <v>0.39268400832066086</v>
      </c>
      <c r="AA95" t="str">
        <f t="shared" si="4"/>
        <v>Sep</v>
      </c>
      <c r="AB95">
        <f t="shared" si="5"/>
        <v>2026</v>
      </c>
      <c r="AC95" s="4" t="str">
        <f>IF(ECommerceData[[#This Row],[Sales]]&gt;=50000,"High Value",IF(ECommerceData[[#This Row],[Sales]]&gt;=10000,"Medium Value","Low Value"))</f>
        <v>Low Value</v>
      </c>
    </row>
    <row r="96" spans="1:29" x14ac:dyDescent="0.25">
      <c r="A96">
        <v>95</v>
      </c>
      <c r="B96" s="2">
        <v>46225</v>
      </c>
      <c r="C96" t="s">
        <v>81</v>
      </c>
      <c r="D96" t="s">
        <v>276</v>
      </c>
      <c r="E96" t="s">
        <v>27</v>
      </c>
      <c r="F96">
        <v>49</v>
      </c>
      <c r="G96" t="s">
        <v>43</v>
      </c>
      <c r="H96" t="s">
        <v>44</v>
      </c>
      <c r="I96" t="s">
        <v>45</v>
      </c>
      <c r="J96" t="s">
        <v>158</v>
      </c>
      <c r="K96" t="s">
        <v>159</v>
      </c>
      <c r="L96" t="s">
        <v>48</v>
      </c>
      <c r="M96" t="s">
        <v>160</v>
      </c>
      <c r="N96" t="s">
        <v>161</v>
      </c>
      <c r="O96">
        <v>1</v>
      </c>
      <c r="P96">
        <v>26344.77</v>
      </c>
      <c r="Q96">
        <v>0.05</v>
      </c>
      <c r="R96">
        <v>25027.53</v>
      </c>
      <c r="S96">
        <v>19125.14</v>
      </c>
      <c r="T96">
        <v>5902.4</v>
      </c>
      <c r="U96" t="s">
        <v>153</v>
      </c>
      <c r="V96" t="s">
        <v>52</v>
      </c>
      <c r="W96" t="s">
        <v>38</v>
      </c>
      <c r="X96" t="s">
        <v>39</v>
      </c>
      <c r="Y96">
        <v>3</v>
      </c>
      <c r="Z96">
        <f>IFERROR(ECommerceData[[#This Row],[Profit]]/ECommerceData[[#This Row],[Sales]],0)</f>
        <v>0.23583629706966688</v>
      </c>
      <c r="AA96" t="str">
        <f t="shared" si="4"/>
        <v>Jul</v>
      </c>
      <c r="AB96">
        <f t="shared" si="5"/>
        <v>2026</v>
      </c>
      <c r="AC96" s="4" t="str">
        <f>IF(ECommerceData[[#This Row],[Sales]]&gt;=50000,"High Value",IF(ECommerceData[[#This Row],[Sales]]&gt;=10000,"Medium Value","Low Value"))</f>
        <v>Medium Value</v>
      </c>
    </row>
    <row r="97" spans="1:29" x14ac:dyDescent="0.25">
      <c r="A97">
        <v>96</v>
      </c>
      <c r="B97" s="2">
        <v>46217</v>
      </c>
      <c r="C97" t="s">
        <v>99</v>
      </c>
      <c r="D97" t="s">
        <v>277</v>
      </c>
      <c r="E97" t="s">
        <v>27</v>
      </c>
      <c r="F97">
        <v>45</v>
      </c>
      <c r="G97" t="s">
        <v>139</v>
      </c>
      <c r="H97" t="s">
        <v>140</v>
      </c>
      <c r="I97" t="s">
        <v>141</v>
      </c>
      <c r="J97" t="s">
        <v>121</v>
      </c>
      <c r="K97" t="s">
        <v>122</v>
      </c>
      <c r="L97" t="s">
        <v>89</v>
      </c>
      <c r="M97" t="s">
        <v>123</v>
      </c>
      <c r="N97" t="s">
        <v>124</v>
      </c>
      <c r="O97">
        <v>5</v>
      </c>
      <c r="P97">
        <v>1821.14</v>
      </c>
      <c r="Q97">
        <v>0.25</v>
      </c>
      <c r="R97">
        <v>6829.28</v>
      </c>
      <c r="S97">
        <v>5282.36</v>
      </c>
      <c r="T97">
        <v>1546.91</v>
      </c>
      <c r="U97" t="s">
        <v>36</v>
      </c>
      <c r="V97" t="s">
        <v>52</v>
      </c>
      <c r="W97" t="s">
        <v>71</v>
      </c>
      <c r="X97" t="s">
        <v>39</v>
      </c>
      <c r="Y97">
        <v>4</v>
      </c>
      <c r="Z97">
        <f>IFERROR(ECommerceData[[#This Row],[Profit]]/ECommerceData[[#This Row],[Sales]],0)</f>
        <v>0.22651143312325753</v>
      </c>
      <c r="AA97" t="str">
        <f t="shared" si="4"/>
        <v>Jul</v>
      </c>
      <c r="AB97">
        <f t="shared" si="5"/>
        <v>2026</v>
      </c>
      <c r="AC97" s="4" t="str">
        <f>IF(ECommerceData[[#This Row],[Sales]]&gt;=50000,"High Value",IF(ECommerceData[[#This Row],[Sales]]&gt;=10000,"Medium Value","Low Value"))</f>
        <v>Low Value</v>
      </c>
    </row>
    <row r="98" spans="1:29" x14ac:dyDescent="0.25">
      <c r="A98">
        <v>97</v>
      </c>
      <c r="B98" s="2">
        <v>46183</v>
      </c>
      <c r="C98" t="s">
        <v>278</v>
      </c>
      <c r="D98" t="s">
        <v>279</v>
      </c>
      <c r="E98" t="s">
        <v>27</v>
      </c>
      <c r="F98">
        <v>47</v>
      </c>
      <c r="G98" t="s">
        <v>43</v>
      </c>
      <c r="H98" t="s">
        <v>44</v>
      </c>
      <c r="I98" t="s">
        <v>45</v>
      </c>
      <c r="J98" t="s">
        <v>95</v>
      </c>
      <c r="K98" t="s">
        <v>96</v>
      </c>
      <c r="L98" t="s">
        <v>77</v>
      </c>
      <c r="M98" t="s">
        <v>97</v>
      </c>
      <c r="N98" t="s">
        <v>98</v>
      </c>
      <c r="O98">
        <v>5</v>
      </c>
      <c r="P98">
        <v>1177.06</v>
      </c>
      <c r="Q98">
        <v>0.25</v>
      </c>
      <c r="R98">
        <v>4413.9799999999996</v>
      </c>
      <c r="S98">
        <v>3002.6</v>
      </c>
      <c r="T98">
        <v>1411.39</v>
      </c>
      <c r="U98" t="s">
        <v>92</v>
      </c>
      <c r="V98" t="s">
        <v>52</v>
      </c>
      <c r="W98" t="s">
        <v>38</v>
      </c>
      <c r="X98" t="s">
        <v>54</v>
      </c>
      <c r="Y98">
        <v>4</v>
      </c>
      <c r="Z98">
        <f>IFERROR(ECommerceData[[#This Row],[Profit]]/ECommerceData[[#This Row],[Sales]],0)</f>
        <v>0.31975450727008281</v>
      </c>
      <c r="AA98" t="str">
        <f t="shared" si="4"/>
        <v>Jun</v>
      </c>
      <c r="AB98">
        <f t="shared" si="5"/>
        <v>2026</v>
      </c>
      <c r="AC98" s="4" t="str">
        <f>IF(ECommerceData[[#This Row],[Sales]]&gt;=50000,"High Value",IF(ECommerceData[[#This Row],[Sales]]&gt;=10000,"Medium Value","Low Value"))</f>
        <v>Low Value</v>
      </c>
    </row>
    <row r="99" spans="1:29" x14ac:dyDescent="0.25">
      <c r="A99">
        <v>98</v>
      </c>
      <c r="B99" s="2">
        <v>46077</v>
      </c>
      <c r="C99" t="s">
        <v>266</v>
      </c>
      <c r="D99" t="s">
        <v>280</v>
      </c>
      <c r="E99" t="s">
        <v>42</v>
      </c>
      <c r="F99">
        <v>28</v>
      </c>
      <c r="G99" t="s">
        <v>113</v>
      </c>
      <c r="H99" t="s">
        <v>113</v>
      </c>
      <c r="I99" t="s">
        <v>45</v>
      </c>
      <c r="J99" t="s">
        <v>95</v>
      </c>
      <c r="K99" t="s">
        <v>96</v>
      </c>
      <c r="L99" t="s">
        <v>77</v>
      </c>
      <c r="M99" t="s">
        <v>97</v>
      </c>
      <c r="N99" t="s">
        <v>98</v>
      </c>
      <c r="O99">
        <v>5</v>
      </c>
      <c r="P99">
        <v>1176.1099999999999</v>
      </c>
      <c r="Q99">
        <v>0</v>
      </c>
      <c r="R99">
        <v>5880.54</v>
      </c>
      <c r="S99">
        <v>3969.27</v>
      </c>
      <c r="T99">
        <v>1911.27</v>
      </c>
      <c r="U99" t="s">
        <v>36</v>
      </c>
      <c r="V99" t="s">
        <v>52</v>
      </c>
      <c r="W99" t="s">
        <v>53</v>
      </c>
      <c r="X99" t="s">
        <v>125</v>
      </c>
      <c r="Y99">
        <v>6</v>
      </c>
      <c r="Z99">
        <f>IFERROR(ECommerceData[[#This Row],[Profit]]/ECommerceData[[#This Row],[Sales]],0)</f>
        <v>0.32501606995275945</v>
      </c>
      <c r="AA99" t="str">
        <f t="shared" si="4"/>
        <v>Feb</v>
      </c>
      <c r="AB99">
        <f t="shared" si="5"/>
        <v>2026</v>
      </c>
      <c r="AC99" s="4" t="str">
        <f>IF(ECommerceData[[#This Row],[Sales]]&gt;=50000,"High Value",IF(ECommerceData[[#This Row],[Sales]]&gt;=10000,"Medium Value","Low Value"))</f>
        <v>Low Value</v>
      </c>
    </row>
    <row r="100" spans="1:29" x14ac:dyDescent="0.25">
      <c r="A100">
        <v>99</v>
      </c>
      <c r="B100" s="2">
        <v>46081</v>
      </c>
      <c r="C100" t="s">
        <v>268</v>
      </c>
      <c r="D100" t="s">
        <v>281</v>
      </c>
      <c r="E100" t="s">
        <v>42</v>
      </c>
      <c r="F100">
        <v>30</v>
      </c>
      <c r="G100" t="s">
        <v>139</v>
      </c>
      <c r="H100" t="s">
        <v>140</v>
      </c>
      <c r="I100" t="s">
        <v>141</v>
      </c>
      <c r="J100" t="s">
        <v>172</v>
      </c>
      <c r="K100" t="s">
        <v>173</v>
      </c>
      <c r="L100" t="s">
        <v>117</v>
      </c>
      <c r="M100" t="s">
        <v>118</v>
      </c>
      <c r="N100" t="s">
        <v>174</v>
      </c>
      <c r="O100">
        <v>2</v>
      </c>
      <c r="P100">
        <v>194.61</v>
      </c>
      <c r="Q100">
        <v>0.1</v>
      </c>
      <c r="R100">
        <v>350.3</v>
      </c>
      <c r="S100">
        <v>232.69</v>
      </c>
      <c r="T100">
        <v>-83.21</v>
      </c>
      <c r="U100" t="s">
        <v>51</v>
      </c>
      <c r="V100" t="s">
        <v>37</v>
      </c>
      <c r="W100" t="s">
        <v>53</v>
      </c>
      <c r="X100" t="s">
        <v>39</v>
      </c>
      <c r="Y100">
        <v>2</v>
      </c>
      <c r="Z100">
        <f>IFERROR(ECommerceData[[#This Row],[Profit]]/ECommerceData[[#This Row],[Sales]],0)</f>
        <v>-0.23753925206965457</v>
      </c>
      <c r="AA100" t="str">
        <f t="shared" si="4"/>
        <v>Feb</v>
      </c>
      <c r="AB100">
        <f t="shared" si="5"/>
        <v>2026</v>
      </c>
      <c r="AC100" s="4" t="str">
        <f>IF(ECommerceData[[#This Row],[Sales]]&gt;=50000,"High Value",IF(ECommerceData[[#This Row],[Sales]]&gt;=10000,"Medium Value","Low Value"))</f>
        <v>Low Value</v>
      </c>
    </row>
    <row r="101" spans="1:29" x14ac:dyDescent="0.25">
      <c r="A101">
        <v>100</v>
      </c>
      <c r="B101" s="2">
        <v>46061</v>
      </c>
      <c r="C101" t="s">
        <v>165</v>
      </c>
      <c r="D101" t="s">
        <v>282</v>
      </c>
      <c r="E101" t="s">
        <v>42</v>
      </c>
      <c r="F101">
        <v>38</v>
      </c>
      <c r="G101" t="s">
        <v>132</v>
      </c>
      <c r="H101" t="s">
        <v>133</v>
      </c>
      <c r="I101" t="s">
        <v>30</v>
      </c>
      <c r="J101" t="s">
        <v>177</v>
      </c>
      <c r="K101" t="s">
        <v>178</v>
      </c>
      <c r="L101" t="s">
        <v>117</v>
      </c>
      <c r="M101" t="s">
        <v>118</v>
      </c>
      <c r="N101" t="s">
        <v>179</v>
      </c>
      <c r="O101">
        <v>4</v>
      </c>
      <c r="P101">
        <v>367.81</v>
      </c>
      <c r="Q101">
        <v>0.2</v>
      </c>
      <c r="R101">
        <v>0</v>
      </c>
      <c r="S101">
        <v>809.46</v>
      </c>
      <c r="T101">
        <v>0</v>
      </c>
      <c r="U101" t="s">
        <v>51</v>
      </c>
      <c r="V101" t="s">
        <v>101</v>
      </c>
      <c r="W101" t="s">
        <v>71</v>
      </c>
      <c r="X101" t="s">
        <v>39</v>
      </c>
      <c r="Y101">
        <v>0</v>
      </c>
      <c r="Z101">
        <f>IFERROR(ECommerceData[[#This Row],[Profit]]/ECommerceData[[#This Row],[Sales]],0)</f>
        <v>0</v>
      </c>
      <c r="AA101" t="str">
        <f t="shared" si="4"/>
        <v>Feb</v>
      </c>
      <c r="AB101">
        <f t="shared" si="5"/>
        <v>2026</v>
      </c>
      <c r="AC101" s="4" t="str">
        <f>IF(ECommerceData[[#This Row],[Sales]]&gt;=50000,"High Value",IF(ECommerceData[[#This Row],[Sales]]&gt;=10000,"Medium Value","Low Value"))</f>
        <v>Low Value</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9B47B-7894-44A0-8D05-6DE520AD32EA}">
  <dimension ref="A1:G154"/>
  <sheetViews>
    <sheetView topLeftCell="A40" workbookViewId="0">
      <selection activeCell="B6" sqref="B6"/>
    </sheetView>
  </sheetViews>
  <sheetFormatPr defaultRowHeight="15" x14ac:dyDescent="0.25"/>
  <cols>
    <col min="1" max="1" width="13.140625" bestFit="1" customWidth="1"/>
    <col min="2" max="2" width="17.28515625" bestFit="1" customWidth="1"/>
    <col min="3" max="3" width="12.5703125" bestFit="1" customWidth="1"/>
    <col min="4" max="4" width="11.85546875" bestFit="1" customWidth="1"/>
    <col min="5" max="5" width="13.7109375" bestFit="1" customWidth="1"/>
    <col min="6" max="6" width="19.7109375" bestFit="1" customWidth="1"/>
    <col min="7" max="7" width="23.7109375" bestFit="1" customWidth="1"/>
  </cols>
  <sheetData>
    <row r="1" spans="1:7" x14ac:dyDescent="0.25">
      <c r="A1" s="5" t="s">
        <v>287</v>
      </c>
      <c r="B1" s="5" t="s">
        <v>288</v>
      </c>
    </row>
    <row r="2" spans="1:7" x14ac:dyDescent="0.25">
      <c r="A2" s="5" t="s">
        <v>289</v>
      </c>
      <c r="B2" s="5">
        <f>SUM(Data!R:R)</f>
        <v>1215940.7900000003</v>
      </c>
    </row>
    <row r="3" spans="1:7" x14ac:dyDescent="0.25">
      <c r="A3" s="5" t="s">
        <v>290</v>
      </c>
      <c r="B3" s="5">
        <f>SUM(Data!T:T)</f>
        <v>289024.25000000006</v>
      </c>
    </row>
    <row r="4" spans="1:7" ht="30" x14ac:dyDescent="0.25">
      <c r="A4" s="5" t="s">
        <v>291</v>
      </c>
      <c r="B4" s="5">
        <f>COUNTA(Data!A:A)-1</f>
        <v>100</v>
      </c>
    </row>
    <row r="5" spans="1:7" ht="30" x14ac:dyDescent="0.25">
      <c r="A5" s="5" t="s">
        <v>292</v>
      </c>
      <c r="B5" s="5">
        <f>SUM(Data!O:O)</f>
        <v>296</v>
      </c>
    </row>
    <row r="6" spans="1:7" ht="45" x14ac:dyDescent="0.25">
      <c r="A6" s="5" t="s">
        <v>293</v>
      </c>
      <c r="B6" s="5">
        <f>B2/B4</f>
        <v>12159.407900000002</v>
      </c>
    </row>
    <row r="7" spans="1:7" ht="45" x14ac:dyDescent="0.25">
      <c r="A7" s="5" t="s">
        <v>294</v>
      </c>
      <c r="B7" s="5">
        <f>AVERAGE(Data!Z:Z)</f>
        <v>0.16899235869535217</v>
      </c>
    </row>
    <row r="8" spans="1:7" ht="45" x14ac:dyDescent="0.25">
      <c r="A8" s="5" t="s">
        <v>295</v>
      </c>
      <c r="B8">
        <f>AVERAGE(Data!Y:Y)</f>
        <v>3.48</v>
      </c>
    </row>
    <row r="11" spans="1:7" x14ac:dyDescent="0.25">
      <c r="A11" s="6" t="s">
        <v>296</v>
      </c>
      <c r="B11" t="s">
        <v>289</v>
      </c>
      <c r="C11" t="s">
        <v>290</v>
      </c>
      <c r="D11" t="s">
        <v>291</v>
      </c>
      <c r="E11" t="s">
        <v>292</v>
      </c>
      <c r="F11" t="s">
        <v>293</v>
      </c>
      <c r="G11" t="s">
        <v>301</v>
      </c>
    </row>
    <row r="12" spans="1:7" x14ac:dyDescent="0.25">
      <c r="A12" s="7" t="s">
        <v>141</v>
      </c>
      <c r="B12" s="4">
        <v>202813.21000000002</v>
      </c>
      <c r="C12" s="4">
        <v>57541.520000000011</v>
      </c>
      <c r="D12" s="4">
        <v>11</v>
      </c>
      <c r="E12" s="4">
        <v>26</v>
      </c>
      <c r="F12" s="4">
        <v>18437.564545454548</v>
      </c>
      <c r="G12" s="8">
        <v>1.1256401908777991</v>
      </c>
    </row>
    <row r="13" spans="1:7" x14ac:dyDescent="0.25">
      <c r="A13" s="7" t="s">
        <v>45</v>
      </c>
      <c r="B13" s="4">
        <v>519365.20000000013</v>
      </c>
      <c r="C13" s="4">
        <v>116200.69000000002</v>
      </c>
      <c r="D13" s="4">
        <v>35</v>
      </c>
      <c r="E13" s="4">
        <v>109</v>
      </c>
      <c r="F13" s="4">
        <v>14839.005714285719</v>
      </c>
      <c r="G13" s="8">
        <v>0.86545537840300824</v>
      </c>
    </row>
    <row r="14" spans="1:7" x14ac:dyDescent="0.25">
      <c r="A14" s="7" t="s">
        <v>66</v>
      </c>
      <c r="B14" s="4">
        <v>371481.99</v>
      </c>
      <c r="C14" s="4">
        <v>91725.760000000024</v>
      </c>
      <c r="D14" s="4">
        <v>29</v>
      </c>
      <c r="E14" s="4">
        <v>92</v>
      </c>
      <c r="F14" s="4">
        <v>12809.723793103449</v>
      </c>
      <c r="G14" s="8">
        <v>1.0243758141963402</v>
      </c>
    </row>
    <row r="15" spans="1:7" x14ac:dyDescent="0.25">
      <c r="A15" s="7" t="s">
        <v>30</v>
      </c>
      <c r="B15" s="4">
        <v>122280.38999999998</v>
      </c>
      <c r="C15" s="4">
        <v>23556.28</v>
      </c>
      <c r="D15" s="4">
        <v>25</v>
      </c>
      <c r="E15" s="4">
        <v>69</v>
      </c>
      <c r="F15" s="4">
        <v>4891.2155999999995</v>
      </c>
      <c r="G15" s="8">
        <v>1.1048048417818026</v>
      </c>
    </row>
    <row r="16" spans="1:7" x14ac:dyDescent="0.25">
      <c r="A16" s="7" t="s">
        <v>297</v>
      </c>
      <c r="B16" s="4">
        <v>1215940.79</v>
      </c>
      <c r="C16" s="4">
        <v>289024.25</v>
      </c>
      <c r="D16" s="4">
        <v>100</v>
      </c>
      <c r="E16" s="4">
        <v>296</v>
      </c>
      <c r="F16" s="4">
        <v>12159.4079</v>
      </c>
      <c r="G16" s="8">
        <v>1</v>
      </c>
    </row>
    <row r="25" spans="1:2" x14ac:dyDescent="0.25">
      <c r="A25" s="6" t="s">
        <v>296</v>
      </c>
      <c r="B25" t="s">
        <v>298</v>
      </c>
    </row>
    <row r="26" spans="1:2" x14ac:dyDescent="0.25">
      <c r="A26" s="7" t="s">
        <v>77</v>
      </c>
      <c r="B26" s="4">
        <v>65189.65</v>
      </c>
    </row>
    <row r="27" spans="1:2" x14ac:dyDescent="0.25">
      <c r="A27" s="7" t="s">
        <v>48</v>
      </c>
      <c r="B27" s="4">
        <v>976659.41000000038</v>
      </c>
    </row>
    <row r="28" spans="1:2" x14ac:dyDescent="0.25">
      <c r="A28" s="7" t="s">
        <v>89</v>
      </c>
      <c r="B28" s="4">
        <v>67390.05</v>
      </c>
    </row>
    <row r="29" spans="1:2" x14ac:dyDescent="0.25">
      <c r="A29" s="7" t="s">
        <v>33</v>
      </c>
      <c r="B29" s="4">
        <v>92813.5</v>
      </c>
    </row>
    <row r="30" spans="1:2" x14ac:dyDescent="0.25">
      <c r="A30" s="7" t="s">
        <v>117</v>
      </c>
      <c r="B30" s="4">
        <v>13888.18</v>
      </c>
    </row>
    <row r="31" spans="1:2" x14ac:dyDescent="0.25">
      <c r="A31" s="7" t="s">
        <v>297</v>
      </c>
      <c r="B31" s="4">
        <v>1215940.7900000003</v>
      </c>
    </row>
    <row r="40" spans="1:2" x14ac:dyDescent="0.25">
      <c r="A40" s="6" t="s">
        <v>296</v>
      </c>
      <c r="B40" t="s">
        <v>299</v>
      </c>
    </row>
    <row r="41" spans="1:2" x14ac:dyDescent="0.25">
      <c r="A41" s="7" t="s">
        <v>77</v>
      </c>
      <c r="B41" s="4">
        <v>10097.43</v>
      </c>
    </row>
    <row r="42" spans="1:2" x14ac:dyDescent="0.25">
      <c r="A42" s="7" t="s">
        <v>48</v>
      </c>
      <c r="B42" s="4">
        <v>263677.31000000006</v>
      </c>
    </row>
    <row r="43" spans="1:2" x14ac:dyDescent="0.25">
      <c r="A43" s="7" t="s">
        <v>89</v>
      </c>
      <c r="B43" s="4">
        <v>7790.5599999999995</v>
      </c>
    </row>
    <row r="44" spans="1:2" x14ac:dyDescent="0.25">
      <c r="A44" s="7" t="s">
        <v>33</v>
      </c>
      <c r="B44" s="4">
        <v>4069.57</v>
      </c>
    </row>
    <row r="45" spans="1:2" x14ac:dyDescent="0.25">
      <c r="A45" s="7" t="s">
        <v>117</v>
      </c>
      <c r="B45" s="4">
        <v>3389.3800000000006</v>
      </c>
    </row>
    <row r="46" spans="1:2" x14ac:dyDescent="0.25">
      <c r="A46" s="7" t="s">
        <v>297</v>
      </c>
      <c r="B46" s="4">
        <v>289024.25000000006</v>
      </c>
    </row>
    <row r="55" spans="1:2" x14ac:dyDescent="0.25">
      <c r="A55" s="6" t="s">
        <v>296</v>
      </c>
      <c r="B55" t="s">
        <v>298</v>
      </c>
    </row>
    <row r="56" spans="1:2" x14ac:dyDescent="0.25">
      <c r="A56" s="7" t="s">
        <v>302</v>
      </c>
      <c r="B56" s="4">
        <v>236007.09000000003</v>
      </c>
    </row>
    <row r="57" spans="1:2" x14ac:dyDescent="0.25">
      <c r="A57" s="7" t="s">
        <v>303</v>
      </c>
      <c r="B57" s="4">
        <v>68313.77</v>
      </c>
    </row>
    <row r="58" spans="1:2" x14ac:dyDescent="0.25">
      <c r="A58" s="7" t="s">
        <v>304</v>
      </c>
      <c r="B58" s="4">
        <v>569359.2300000001</v>
      </c>
    </row>
    <row r="59" spans="1:2" x14ac:dyDescent="0.25">
      <c r="A59" s="7" t="s">
        <v>305</v>
      </c>
      <c r="B59" s="4">
        <v>91885.12999999999</v>
      </c>
    </row>
    <row r="60" spans="1:2" x14ac:dyDescent="0.25">
      <c r="A60" s="7" t="s">
        <v>306</v>
      </c>
      <c r="B60" s="4">
        <v>46589.04</v>
      </c>
    </row>
    <row r="61" spans="1:2" x14ac:dyDescent="0.25">
      <c r="A61" s="7" t="s">
        <v>307</v>
      </c>
      <c r="B61" s="4">
        <v>42355.22</v>
      </c>
    </row>
    <row r="62" spans="1:2" x14ac:dyDescent="0.25">
      <c r="A62" s="7" t="s">
        <v>308</v>
      </c>
      <c r="B62" s="4">
        <v>88955.78</v>
      </c>
    </row>
    <row r="63" spans="1:2" x14ac:dyDescent="0.25">
      <c r="A63" s="7" t="s">
        <v>309</v>
      </c>
      <c r="B63" s="4">
        <v>16804.75</v>
      </c>
    </row>
    <row r="64" spans="1:2" x14ac:dyDescent="0.25">
      <c r="A64" s="7" t="s">
        <v>310</v>
      </c>
      <c r="B64" s="4">
        <v>55670.78</v>
      </c>
    </row>
    <row r="65" spans="1:2" x14ac:dyDescent="0.25">
      <c r="A65" s="7" t="s">
        <v>297</v>
      </c>
      <c r="B65" s="4">
        <v>1215940.7900000003</v>
      </c>
    </row>
    <row r="75" spans="1:2" x14ac:dyDescent="0.25">
      <c r="A75" s="6" t="s">
        <v>296</v>
      </c>
      <c r="B75" t="s">
        <v>298</v>
      </c>
    </row>
    <row r="76" spans="1:2" x14ac:dyDescent="0.25">
      <c r="A76" s="7" t="s">
        <v>141</v>
      </c>
      <c r="B76" s="4">
        <v>202813.21000000002</v>
      </c>
    </row>
    <row r="77" spans="1:2" x14ac:dyDescent="0.25">
      <c r="A77" s="7" t="s">
        <v>45</v>
      </c>
      <c r="B77" s="4">
        <v>519365.20000000013</v>
      </c>
    </row>
    <row r="78" spans="1:2" x14ac:dyDescent="0.25">
      <c r="A78" s="7" t="s">
        <v>66</v>
      </c>
      <c r="B78" s="4">
        <v>371481.99</v>
      </c>
    </row>
    <row r="79" spans="1:2" x14ac:dyDescent="0.25">
      <c r="A79" s="7" t="s">
        <v>30</v>
      </c>
      <c r="B79" s="4">
        <v>122280.38999999998</v>
      </c>
    </row>
    <row r="80" spans="1:2" x14ac:dyDescent="0.25">
      <c r="A80" s="7" t="s">
        <v>297</v>
      </c>
      <c r="B80" s="4">
        <v>1215940.79</v>
      </c>
    </row>
    <row r="90" spans="1:2" x14ac:dyDescent="0.25">
      <c r="A90" s="6" t="s">
        <v>10</v>
      </c>
      <c r="B90" t="s">
        <v>298</v>
      </c>
    </row>
    <row r="91" spans="1:2" x14ac:dyDescent="0.25">
      <c r="A91" s="7" t="s">
        <v>68</v>
      </c>
      <c r="B91" s="4">
        <v>601503.55000000005</v>
      </c>
    </row>
    <row r="92" spans="1:2" x14ac:dyDescent="0.25">
      <c r="A92" s="7" t="s">
        <v>159</v>
      </c>
      <c r="B92" s="4">
        <v>195096.44</v>
      </c>
    </row>
    <row r="93" spans="1:2" x14ac:dyDescent="0.25">
      <c r="A93" s="7" t="s">
        <v>60</v>
      </c>
      <c r="B93" s="4">
        <v>83207.680000000008</v>
      </c>
    </row>
    <row r="94" spans="1:2" x14ac:dyDescent="0.25">
      <c r="A94" s="7" t="s">
        <v>207</v>
      </c>
      <c r="B94" s="4">
        <v>68633.3</v>
      </c>
    </row>
    <row r="95" spans="1:2" x14ac:dyDescent="0.25">
      <c r="A95" s="7" t="s">
        <v>96</v>
      </c>
      <c r="B95" s="4">
        <v>37426.299999999996</v>
      </c>
    </row>
    <row r="96" spans="1:2" x14ac:dyDescent="0.25">
      <c r="A96" s="7" t="s">
        <v>297</v>
      </c>
      <c r="B96" s="4">
        <v>985867.27000000025</v>
      </c>
    </row>
    <row r="105" spans="1:3" x14ac:dyDescent="0.25">
      <c r="A105" s="6" t="s">
        <v>296</v>
      </c>
      <c r="B105" t="s">
        <v>298</v>
      </c>
      <c r="C105" t="s">
        <v>299</v>
      </c>
    </row>
    <row r="106" spans="1:3" x14ac:dyDescent="0.25">
      <c r="A106" s="7" t="s">
        <v>38</v>
      </c>
      <c r="B106" s="4">
        <v>327768.32999999996</v>
      </c>
      <c r="C106" s="4">
        <v>57371.05999999999</v>
      </c>
    </row>
    <row r="107" spans="1:3" x14ac:dyDescent="0.25">
      <c r="A107" s="7" t="s">
        <v>71</v>
      </c>
      <c r="B107" s="4">
        <v>527234.15</v>
      </c>
      <c r="C107" s="4">
        <v>132322.96000000002</v>
      </c>
    </row>
    <row r="108" spans="1:3" x14ac:dyDescent="0.25">
      <c r="A108" s="7" t="s">
        <v>53</v>
      </c>
      <c r="B108" s="4">
        <v>360938.31000000006</v>
      </c>
      <c r="C108" s="4">
        <v>99330.230000000025</v>
      </c>
    </row>
    <row r="109" spans="1:3" x14ac:dyDescent="0.25">
      <c r="A109" s="7" t="s">
        <v>297</v>
      </c>
      <c r="B109" s="4">
        <v>1215940.79</v>
      </c>
      <c r="C109" s="4">
        <v>289024.25000000006</v>
      </c>
    </row>
    <row r="120" spans="1:2" x14ac:dyDescent="0.25">
      <c r="A120" s="6" t="s">
        <v>296</v>
      </c>
      <c r="B120" t="s">
        <v>300</v>
      </c>
    </row>
    <row r="121" spans="1:2" x14ac:dyDescent="0.25">
      <c r="A121" s="7" t="s">
        <v>153</v>
      </c>
      <c r="B121" s="4">
        <v>14</v>
      </c>
    </row>
    <row r="122" spans="1:2" x14ac:dyDescent="0.25">
      <c r="A122" s="7" t="s">
        <v>51</v>
      </c>
      <c r="B122" s="4">
        <v>23</v>
      </c>
    </row>
    <row r="123" spans="1:2" x14ac:dyDescent="0.25">
      <c r="A123" s="7" t="s">
        <v>92</v>
      </c>
      <c r="B123" s="4">
        <v>25</v>
      </c>
    </row>
    <row r="124" spans="1:2" x14ac:dyDescent="0.25">
      <c r="A124" s="7" t="s">
        <v>80</v>
      </c>
      <c r="B124" s="4">
        <v>12</v>
      </c>
    </row>
    <row r="125" spans="1:2" x14ac:dyDescent="0.25">
      <c r="A125" s="7" t="s">
        <v>36</v>
      </c>
      <c r="B125" s="4">
        <v>26</v>
      </c>
    </row>
    <row r="126" spans="1:2" x14ac:dyDescent="0.25">
      <c r="A126" s="7" t="s">
        <v>297</v>
      </c>
      <c r="B126" s="4">
        <v>100</v>
      </c>
    </row>
    <row r="135" spans="1:2" x14ac:dyDescent="0.25">
      <c r="A135" s="6" t="s">
        <v>296</v>
      </c>
      <c r="B135" t="s">
        <v>300</v>
      </c>
    </row>
    <row r="136" spans="1:2" x14ac:dyDescent="0.25">
      <c r="A136" s="7" t="s">
        <v>101</v>
      </c>
      <c r="B136" s="4">
        <v>14</v>
      </c>
    </row>
    <row r="137" spans="1:2" x14ac:dyDescent="0.25">
      <c r="A137" s="7" t="s">
        <v>52</v>
      </c>
      <c r="B137" s="4">
        <v>68</v>
      </c>
    </row>
    <row r="138" spans="1:2" x14ac:dyDescent="0.25">
      <c r="A138" s="7" t="s">
        <v>37</v>
      </c>
      <c r="B138" s="4">
        <v>18</v>
      </c>
    </row>
    <row r="139" spans="1:2" x14ac:dyDescent="0.25">
      <c r="A139" s="7" t="s">
        <v>297</v>
      </c>
      <c r="B139" s="4">
        <v>100</v>
      </c>
    </row>
    <row r="150" spans="1:2" x14ac:dyDescent="0.25">
      <c r="A150" s="6" t="s">
        <v>296</v>
      </c>
      <c r="B150" t="s">
        <v>311</v>
      </c>
    </row>
    <row r="151" spans="1:2" x14ac:dyDescent="0.25">
      <c r="A151" s="7" t="s">
        <v>54</v>
      </c>
      <c r="B151" s="4">
        <v>2.7419354838709675</v>
      </c>
    </row>
    <row r="152" spans="1:2" x14ac:dyDescent="0.25">
      <c r="A152" s="7" t="s">
        <v>125</v>
      </c>
      <c r="B152" s="4">
        <v>4.6428571428571432</v>
      </c>
    </row>
    <row r="153" spans="1:2" x14ac:dyDescent="0.25">
      <c r="A153" s="7" t="s">
        <v>39</v>
      </c>
      <c r="B153" s="4">
        <v>3.2439024390243905</v>
      </c>
    </row>
    <row r="154" spans="1:2" x14ac:dyDescent="0.25">
      <c r="A154" s="7" t="s">
        <v>297</v>
      </c>
      <c r="B154" s="4">
        <v>3.48</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E2D4-13A0-4DD7-A024-27D224A3D1D1}">
  <dimension ref="AD11:AJ24"/>
  <sheetViews>
    <sheetView showGridLines="0" tabSelected="1" zoomScale="70" zoomScaleNormal="70" workbookViewId="0">
      <selection activeCell="AD8" sqref="AD8"/>
    </sheetView>
  </sheetViews>
  <sheetFormatPr defaultRowHeight="15" x14ac:dyDescent="0.25"/>
  <sheetData>
    <row r="11" spans="30:33" x14ac:dyDescent="0.25">
      <c r="AG11" t="s">
        <v>314</v>
      </c>
    </row>
    <row r="16" spans="30:33" x14ac:dyDescent="0.25">
      <c r="AD16" t="s">
        <v>315</v>
      </c>
    </row>
    <row r="22" spans="36:36" x14ac:dyDescent="0.25">
      <c r="AJ22" t="s">
        <v>312</v>
      </c>
    </row>
    <row r="24" spans="36:36" x14ac:dyDescent="0.25">
      <c r="AJ24" t="s">
        <v>313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Executive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 pancholi</cp:lastModifiedBy>
  <dcterms:created xsi:type="dcterms:W3CDTF">2026-09-24T18:45:28Z</dcterms:created>
  <dcterms:modified xsi:type="dcterms:W3CDTF">2026-09-25T18:34:06Z</dcterms:modified>
</cp:coreProperties>
</file>